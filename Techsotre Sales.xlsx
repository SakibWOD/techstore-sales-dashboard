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H:\Excel file\"/>
    </mc:Choice>
  </mc:AlternateContent>
  <xr:revisionPtr revIDLastSave="0" documentId="13_ncr:1_{0C77E00B-7944-439C-8D2E-733B1A27D861}" xr6:coauthVersionLast="36" xr6:coauthVersionMax="36" xr10:uidLastSave="{00000000-0000-0000-0000-000000000000}"/>
  <bookViews>
    <workbookView xWindow="0" yWindow="0" windowWidth="23040" windowHeight="10284" activeTab="5" xr2:uid="{F7E5E44A-F34E-4E9F-96D4-CD7E29403149}"/>
  </bookViews>
  <sheets>
    <sheet name="Sheet1" sheetId="9" r:id="rId1"/>
    <sheet name="Sheet2" sheetId="10" r:id="rId2"/>
    <sheet name="Sheet3" sheetId="11" r:id="rId3"/>
    <sheet name="Sheet4" sheetId="12" r:id="rId4"/>
    <sheet name="Sheet5" sheetId="13" r:id="rId5"/>
    <sheet name="Dasboard" sheetId="2" r:id="rId6"/>
    <sheet name="month" sheetId="4" r:id="rId7"/>
    <sheet name="Category" sheetId="6" r:id="rId8"/>
    <sheet name="Sheet8" sheetId="8" r:id="rId9"/>
    <sheet name="Data" sheetId="1" r:id="rId10"/>
  </sheets>
  <definedNames>
    <definedName name="Slicer_Category">#N/A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 l="1"/>
  <c r="J3" i="1" l="1"/>
  <c r="J4" i="1"/>
  <c r="J5" i="1"/>
  <c r="J6" i="1"/>
  <c r="J7" i="1"/>
  <c r="J8" i="1"/>
  <c r="J9" i="1"/>
  <c r="J10" i="1"/>
  <c r="J11" i="1"/>
  <c r="J2" i="1"/>
</calcChain>
</file>

<file path=xl/sharedStrings.xml><?xml version="1.0" encoding="utf-8"?>
<sst xmlns="http://schemas.openxmlformats.org/spreadsheetml/2006/main" count="373" uniqueCount="48">
  <si>
    <t>Order ID</t>
  </si>
  <si>
    <t>Date</t>
  </si>
  <si>
    <t>Customer Name</t>
  </si>
  <si>
    <t>product</t>
  </si>
  <si>
    <t>Category</t>
  </si>
  <si>
    <t>Region</t>
  </si>
  <si>
    <t>Quantity</t>
  </si>
  <si>
    <t>Uniit Price</t>
  </si>
  <si>
    <t>Total Sales</t>
  </si>
  <si>
    <t>Month</t>
  </si>
  <si>
    <t>Dhaka</t>
  </si>
  <si>
    <t>John Doe</t>
  </si>
  <si>
    <t xml:space="preserve">Laptop </t>
  </si>
  <si>
    <t>Electronics</t>
  </si>
  <si>
    <t>Jan</t>
  </si>
  <si>
    <t>Tony Shark</t>
  </si>
  <si>
    <t>Monitor</t>
  </si>
  <si>
    <t>Bruce Wayne</t>
  </si>
  <si>
    <t>Sofa</t>
  </si>
  <si>
    <t>Furniture</t>
  </si>
  <si>
    <t>Chittagong</t>
  </si>
  <si>
    <t>lisa Roy</t>
  </si>
  <si>
    <t>Desk</t>
  </si>
  <si>
    <t>Khulna</t>
  </si>
  <si>
    <t>peter parker</t>
  </si>
  <si>
    <t>Keyboard</t>
  </si>
  <si>
    <t>Sylhet</t>
  </si>
  <si>
    <t>Dina Prince</t>
  </si>
  <si>
    <t>Headphone</t>
  </si>
  <si>
    <t>Alex Smith</t>
  </si>
  <si>
    <t>Chair</t>
  </si>
  <si>
    <t>Mary Jane</t>
  </si>
  <si>
    <t xml:space="preserve"> Mouse</t>
  </si>
  <si>
    <t>Clark kent</t>
  </si>
  <si>
    <t>Notebok</t>
  </si>
  <si>
    <t>Stationary</t>
  </si>
  <si>
    <t>Natasha Rahman</t>
  </si>
  <si>
    <t>Pen set</t>
  </si>
  <si>
    <t>Sum of Total Sales</t>
  </si>
  <si>
    <t>Row Labels</t>
  </si>
  <si>
    <t>Grand Total</t>
  </si>
  <si>
    <t>Feb</t>
  </si>
  <si>
    <t>Mar</t>
  </si>
  <si>
    <t>Apr</t>
  </si>
  <si>
    <t>May</t>
  </si>
  <si>
    <t>Jun</t>
  </si>
  <si>
    <t>Aug</t>
  </si>
  <si>
    <r>
      <t xml:space="preserve"> </t>
    </r>
    <r>
      <rPr>
        <b/>
        <sz val="20"/>
        <color rgb="FF6372CC"/>
        <rFont val="Times New Roman"/>
        <family val="1"/>
      </rPr>
      <t xml:space="preserve">      TechStore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</si>
</sst>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sz val="24"/>
      <color theme="4"/>
      <name val="Times New Roman"/>
      <family val="1"/>
    </font>
    <font>
      <sz val="24"/>
      <color theme="1"/>
      <name val="Calibri"/>
      <family val="2"/>
      <scheme val="minor"/>
    </font>
    <font>
      <b/>
      <sz val="24"/>
      <color rgb="FF000005"/>
      <name val="Times New Roman"/>
      <family val="1"/>
    </font>
    <font>
      <b/>
      <sz val="11"/>
      <color rgb="FF6372CC"/>
      <name val="Times New Roman"/>
      <family val="1"/>
    </font>
    <font>
      <b/>
      <sz val="20"/>
      <color rgb="FF6372CC"/>
      <name val="Times New Roman"/>
      <family val="1"/>
    </font>
  </fonts>
  <fills count="2">
    <fill>
      <patternFill patternType="none"/>
    </fill>
    <fill>
      <patternFill patternType="gray125"/>
    </fill>
  </fills>
  <borders count="2">
    <border>
      <left/>
      <right/>
      <top/>
      <bottom/>
      <diagonal/>
    </border>
    <border>
      <left/>
      <right/>
      <top style="thin">
        <color indexed="64"/>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14" fontId="3"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4" fillId="0" borderId="1" xfId="0" applyFont="1" applyBorder="1"/>
    <xf numFmtId="14" fontId="0" fillId="0" borderId="0" xfId="0" applyNumberFormat="1"/>
    <xf numFmtId="0" fontId="5" fillId="0" borderId="0" xfId="0" applyFont="1"/>
    <xf numFmtId="0" fontId="6" fillId="0" borderId="1" xfId="0" applyFont="1" applyBorder="1"/>
    <xf numFmtId="0" fontId="7" fillId="0" borderId="0" xfId="0" applyFont="1" applyAlignment="1">
      <alignment horizontal="center"/>
    </xf>
  </cellXfs>
  <cellStyles count="1">
    <cellStyle name="Normal" xfId="0" builtinId="0"/>
  </cellStyles>
  <dxfs count="5">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6372CC"/>
      <color rgb="FF0000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[Mni projects.xlsx]month!PivotTable4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Monthly Sales Trend</a:t>
            </a:r>
          </a:p>
          <a:p>
            <a:pPr>
              <a:defRPr/>
            </a:pPr>
            <a:endParaRPr lang="en-US"/>
          </a:p>
        </c:rich>
      </c:tx>
      <c:layout>
        <c:manualLayout>
          <c:xMode val="edge"/>
          <c:yMode val="edge"/>
          <c:x val="0.32949769081140823"/>
          <c:y val="4.4326334208223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7280314960629922"/>
          <c:y val="0.30411763838508948"/>
          <c:w val="0.6965853018372703"/>
          <c:h val="0.45254062343330681"/>
        </c:manualLayout>
      </c:layout>
      <c:lineChart>
        <c:grouping val="standard"/>
        <c:varyColors val="0"/>
        <c:ser>
          <c:idx val="0"/>
          <c:order val="0"/>
          <c:tx>
            <c:strRef>
              <c:f>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month!$A$4:$A$11</c:f>
              <c:strCache>
                <c:ptCount val="7"/>
                <c:pt idx="0">
                  <c:v>Jan</c:v>
                </c:pt>
                <c:pt idx="1">
                  <c:v>Feb</c:v>
                </c:pt>
                <c:pt idx="2">
                  <c:v>Mar</c:v>
                </c:pt>
                <c:pt idx="3">
                  <c:v>Apr</c:v>
                </c:pt>
                <c:pt idx="4">
                  <c:v>May</c:v>
                </c:pt>
                <c:pt idx="5">
                  <c:v>Jun</c:v>
                </c:pt>
                <c:pt idx="6">
                  <c:v>Aug</c:v>
                </c:pt>
              </c:strCache>
            </c:strRef>
          </c:cat>
          <c:val>
            <c:numRef>
              <c:f>month!$B$4:$B$11</c:f>
              <c:numCache>
                <c:formatCode>General</c:formatCode>
                <c:ptCount val="7"/>
                <c:pt idx="0">
                  <c:v>110000</c:v>
                </c:pt>
                <c:pt idx="1">
                  <c:v>22000</c:v>
                </c:pt>
                <c:pt idx="2">
                  <c:v>16500</c:v>
                </c:pt>
                <c:pt idx="3">
                  <c:v>3600</c:v>
                </c:pt>
                <c:pt idx="4">
                  <c:v>17200</c:v>
                </c:pt>
                <c:pt idx="5">
                  <c:v>4500</c:v>
                </c:pt>
                <c:pt idx="6">
                  <c:v>2500</c:v>
                </c:pt>
              </c:numCache>
            </c:numRef>
          </c:val>
          <c:smooth val="0"/>
          <c:extLst>
            <c:ext xmlns:c16="http://schemas.microsoft.com/office/drawing/2014/chart" uri="{C3380CC4-5D6E-409C-BE32-E72D297353CC}">
              <c16:uniqueId val="{00000000-E284-435C-ABFE-A6DDC9A09A49}"/>
            </c:ext>
          </c:extLst>
        </c:ser>
        <c:dLbls>
          <c:dLblPos val="ctr"/>
          <c:showLegendKey val="0"/>
          <c:showVal val="0"/>
          <c:showCatName val="0"/>
          <c:showSerName val="0"/>
          <c:showPercent val="0"/>
          <c:showBubbleSize val="0"/>
        </c:dLbls>
        <c:marker val="1"/>
        <c:smooth val="0"/>
        <c:axId val="783752080"/>
        <c:axId val="1002265488"/>
      </c:lineChart>
      <c:catAx>
        <c:axId val="7837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65488"/>
        <c:crosses val="autoZero"/>
        <c:auto val="1"/>
        <c:lblAlgn val="ctr"/>
        <c:lblOffset val="100"/>
        <c:noMultiLvlLbl val="0"/>
      </c:catAx>
      <c:valAx>
        <c:axId val="100226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[Mni projects.xlsx]Sheet8!PivotTable6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Sales By Region</a:t>
            </a:r>
          </a:p>
        </c:rich>
      </c:tx>
      <c:layout>
        <c:manualLayout>
          <c:xMode val="edge"/>
          <c:yMode val="edge"/>
          <c:x val="0.36847800699120747"/>
          <c:y val="3.4106153397491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939847431351782"/>
          <c:y val="0.20454545454545459"/>
          <c:w val="0.76823628954275447"/>
          <c:h val="0.53917368720518322"/>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Chittagong</c:v>
                </c:pt>
                <c:pt idx="1">
                  <c:v>Dhaka</c:v>
                </c:pt>
                <c:pt idx="2">
                  <c:v>Khulna</c:v>
                </c:pt>
                <c:pt idx="3">
                  <c:v>Sylhet</c:v>
                </c:pt>
              </c:strCache>
            </c:strRef>
          </c:cat>
          <c:val>
            <c:numRef>
              <c:f>Sheet8!$B$4:$B$8</c:f>
              <c:numCache>
                <c:formatCode>General</c:formatCode>
                <c:ptCount val="4"/>
                <c:pt idx="0">
                  <c:v>17500</c:v>
                </c:pt>
                <c:pt idx="1">
                  <c:v>136500</c:v>
                </c:pt>
                <c:pt idx="2">
                  <c:v>17200</c:v>
                </c:pt>
                <c:pt idx="3">
                  <c:v>5100</c:v>
                </c:pt>
              </c:numCache>
            </c:numRef>
          </c:val>
          <c:extLst>
            <c:ext xmlns:c16="http://schemas.microsoft.com/office/drawing/2014/chart" uri="{C3380CC4-5D6E-409C-BE32-E72D297353CC}">
              <c16:uniqueId val="{00000002-6AEA-430E-995F-9BBFEB575EA9}"/>
            </c:ext>
          </c:extLst>
        </c:ser>
        <c:dLbls>
          <c:dLblPos val="outEnd"/>
          <c:showLegendKey val="0"/>
          <c:showVal val="0"/>
          <c:showCatName val="0"/>
          <c:showSerName val="0"/>
          <c:showPercent val="0"/>
          <c:showBubbleSize val="0"/>
        </c:dLbls>
        <c:gapWidth val="219"/>
        <c:overlap val="-27"/>
        <c:axId val="1009999504"/>
        <c:axId val="1012673504"/>
      </c:barChart>
      <c:catAx>
        <c:axId val="100999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73504"/>
        <c:crosses val="autoZero"/>
        <c:auto val="1"/>
        <c:lblAlgn val="ctr"/>
        <c:lblOffset val="100"/>
        <c:noMultiLvlLbl val="0"/>
      </c:catAx>
      <c:valAx>
        <c:axId val="1012673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99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[Mni projects.xlsx]Category!PivotTable5</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latin typeface="Times New Roman" panose="02020603050405020304" pitchFamily="18" charset="0"/>
                <a:cs typeface="Times New Roman" panose="02020603050405020304" pitchFamily="18" charset="0"/>
              </a:rPr>
              <a:t>Sales By Category</a:t>
            </a:r>
          </a:p>
        </c:rich>
      </c:tx>
      <c:layout>
        <c:manualLayout>
          <c:xMode val="edge"/>
          <c:yMode val="edge"/>
          <c:x val="0.32868777915918407"/>
          <c:y val="2.7436570428696419E-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c:spPr>
        <c:marker>
          <c:symbol val="circle"/>
          <c:size val="8"/>
          <c:spPr>
            <a:solidFill>
              <a:schemeClr val="accent1"/>
            </a:solidFill>
            <a:ln>
              <a:noFill/>
            </a:ln>
            <a:effectLst/>
          </c:spPr>
        </c:marker>
      </c:pivotFmt>
      <c:pivotFmt>
        <c:idx val="6"/>
        <c:spPr>
          <a:solidFill>
            <a:schemeClr val="accent1"/>
          </a:solidFill>
          <a:ln>
            <a:noFill/>
          </a:ln>
          <a:effectLst/>
        </c:spPr>
      </c:pivotFmt>
      <c:pivotFmt>
        <c:idx val="7"/>
      </c:pivotFmt>
      <c:pivotFmt>
        <c:idx val="8"/>
        <c:spPr>
          <a:solidFill>
            <a:schemeClr val="accent1"/>
          </a:solidFill>
          <a:ln>
            <a:noFill/>
          </a:ln>
          <a:effectLst/>
        </c:spPr>
      </c:pivotFmt>
    </c:pivotFmts>
    <c:plotArea>
      <c:layout>
        <c:manualLayout>
          <c:layoutTarget val="inner"/>
          <c:xMode val="edge"/>
          <c:yMode val="edge"/>
          <c:x val="0.28244175070221483"/>
          <c:y val="8.9781171931821779E-2"/>
          <c:w val="0.53181818181818186"/>
          <c:h val="0.78840970350404316"/>
        </c:manualLayout>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DA96-423E-8359-B454A9082CED}"/>
              </c:ext>
            </c:extLst>
          </c:dPt>
          <c:dPt>
            <c:idx val="1"/>
            <c:invertIfNegative val="0"/>
            <c:bubble3D val="0"/>
            <c:extLst>
              <c:ext xmlns:c16="http://schemas.microsoft.com/office/drawing/2014/chart" uri="{C3380CC4-5D6E-409C-BE32-E72D297353CC}">
                <c16:uniqueId val="{00000003-DA96-423E-8359-B454A9082CED}"/>
              </c:ext>
            </c:extLst>
          </c:dPt>
          <c:dPt>
            <c:idx val="2"/>
            <c:invertIfNegative val="0"/>
            <c:bubble3D val="0"/>
            <c:extLst>
              <c:ext xmlns:c16="http://schemas.microsoft.com/office/drawing/2014/chart" uri="{C3380CC4-5D6E-409C-BE32-E72D297353CC}">
                <c16:uniqueId val="{00000005-DA96-423E-8359-B454A9082CED}"/>
              </c:ext>
            </c:extLst>
          </c:dPt>
          <c:cat>
            <c:strRef>
              <c:f>Category!$A$4:$A$6</c:f>
              <c:strCache>
                <c:ptCount val="2"/>
                <c:pt idx="0">
                  <c:v>Electronics</c:v>
                </c:pt>
                <c:pt idx="1">
                  <c:v>Stationary</c:v>
                </c:pt>
              </c:strCache>
            </c:strRef>
          </c:cat>
          <c:val>
            <c:numRef>
              <c:f>Category!$B$4:$B$6</c:f>
              <c:numCache>
                <c:formatCode>General</c:formatCode>
                <c:ptCount val="2"/>
                <c:pt idx="0">
                  <c:v>141300</c:v>
                </c:pt>
                <c:pt idx="1">
                  <c:v>3000</c:v>
                </c:pt>
              </c:numCache>
            </c:numRef>
          </c:val>
          <c:extLst>
            <c:ext xmlns:c16="http://schemas.microsoft.com/office/drawing/2014/chart" uri="{C3380CC4-5D6E-409C-BE32-E72D297353CC}">
              <c16:uniqueId val="{00000006-DA96-423E-8359-B454A9082CED}"/>
            </c:ext>
          </c:extLst>
        </c:ser>
        <c:dLbls>
          <c:dLblPos val="inEnd"/>
          <c:showLegendKey val="0"/>
          <c:showVal val="0"/>
          <c:showCatName val="0"/>
          <c:showSerName val="0"/>
          <c:showPercent val="0"/>
          <c:showBubbleSize val="0"/>
        </c:dLbls>
        <c:gapWidth val="269"/>
        <c:axId val="190862944"/>
        <c:axId val="422275472"/>
      </c:barChart>
      <c:valAx>
        <c:axId val="42227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2944"/>
        <c:crosses val="autoZero"/>
        <c:crossBetween val="between"/>
      </c:valAx>
      <c:catAx>
        <c:axId val="190862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222754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[Mni projects.xlsx]month!PivotTable4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mothly Trend Sales</a:t>
            </a:r>
          </a:p>
          <a:p>
            <a:pPr>
              <a:defRPr/>
            </a:pPr>
            <a:endParaRPr lang="en-US"/>
          </a:p>
        </c:rich>
      </c:tx>
      <c:layout>
        <c:manualLayout>
          <c:xMode val="edge"/>
          <c:yMode val="edge"/>
          <c:x val="0.33943044619422569"/>
          <c:y val="0.116009024152879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manualLayout>
          <c:layoutTarget val="inner"/>
          <c:xMode val="edge"/>
          <c:yMode val="edge"/>
          <c:x val="0.16446981627296589"/>
          <c:y val="0.32752587808546402"/>
          <c:w val="0.6965853018372703"/>
          <c:h val="0.45254062343330681"/>
        </c:manualLayout>
      </c:layout>
      <c:lineChart>
        <c:grouping val="standard"/>
        <c:varyColors val="0"/>
        <c:ser>
          <c:idx val="0"/>
          <c:order val="0"/>
          <c:tx>
            <c:strRef>
              <c:f>month!$B$3</c:f>
              <c:strCache>
                <c:ptCount val="1"/>
                <c:pt idx="0">
                  <c:v>Total</c:v>
                </c:pt>
              </c:strCache>
            </c:strRef>
          </c:tx>
          <c:spPr>
            <a:ln w="28575" cap="rnd">
              <a:solidFill>
                <a:schemeClr val="accent1"/>
              </a:solidFill>
              <a:round/>
            </a:ln>
            <a:effectLst/>
          </c:spPr>
          <c:marker>
            <c:symbol val="none"/>
          </c:marker>
          <c:cat>
            <c:strRef>
              <c:f>month!$A$4:$A$11</c:f>
              <c:strCache>
                <c:ptCount val="7"/>
                <c:pt idx="0">
                  <c:v>Jan</c:v>
                </c:pt>
                <c:pt idx="1">
                  <c:v>Feb</c:v>
                </c:pt>
                <c:pt idx="2">
                  <c:v>Mar</c:v>
                </c:pt>
                <c:pt idx="3">
                  <c:v>Apr</c:v>
                </c:pt>
                <c:pt idx="4">
                  <c:v>May</c:v>
                </c:pt>
                <c:pt idx="5">
                  <c:v>Jun</c:v>
                </c:pt>
                <c:pt idx="6">
                  <c:v>Aug</c:v>
                </c:pt>
              </c:strCache>
            </c:strRef>
          </c:cat>
          <c:val>
            <c:numRef>
              <c:f>month!$B$4:$B$11</c:f>
              <c:numCache>
                <c:formatCode>General</c:formatCode>
                <c:ptCount val="7"/>
                <c:pt idx="0">
                  <c:v>110000</c:v>
                </c:pt>
                <c:pt idx="1">
                  <c:v>22000</c:v>
                </c:pt>
                <c:pt idx="2">
                  <c:v>16500</c:v>
                </c:pt>
                <c:pt idx="3">
                  <c:v>3600</c:v>
                </c:pt>
                <c:pt idx="4">
                  <c:v>17200</c:v>
                </c:pt>
                <c:pt idx="5">
                  <c:v>4500</c:v>
                </c:pt>
                <c:pt idx="6">
                  <c:v>2500</c:v>
                </c:pt>
              </c:numCache>
            </c:numRef>
          </c:val>
          <c:smooth val="0"/>
          <c:extLst>
            <c:ext xmlns:c16="http://schemas.microsoft.com/office/drawing/2014/chart" uri="{C3380CC4-5D6E-409C-BE32-E72D297353CC}">
              <c16:uniqueId val="{00000000-EB8A-480C-A285-804744FE4010}"/>
            </c:ext>
          </c:extLst>
        </c:ser>
        <c:dLbls>
          <c:showLegendKey val="0"/>
          <c:showVal val="0"/>
          <c:showCatName val="0"/>
          <c:showSerName val="0"/>
          <c:showPercent val="0"/>
          <c:showBubbleSize val="0"/>
        </c:dLbls>
        <c:smooth val="0"/>
        <c:axId val="783752080"/>
        <c:axId val="1002265488"/>
      </c:lineChart>
      <c:catAx>
        <c:axId val="78375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65488"/>
        <c:crosses val="autoZero"/>
        <c:auto val="1"/>
        <c:lblAlgn val="ctr"/>
        <c:lblOffset val="100"/>
        <c:noMultiLvlLbl val="0"/>
      </c:catAx>
      <c:valAx>
        <c:axId val="100226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[Mni projects.xlsx]Category!PivotTable5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layout>
        <c:manualLayout>
          <c:xMode val="edge"/>
          <c:yMode val="edge"/>
          <c:x val="0.42401377952755903"/>
          <c:y val="6.2838127376935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E1-4C8A-AF62-F20AF25271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98-493A-9977-6DA5285535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98-493A-9977-6DA528553545}"/>
              </c:ext>
            </c:extLst>
          </c:dPt>
          <c:cat>
            <c:strRef>
              <c:f>Category!$A$4:$A$6</c:f>
              <c:strCache>
                <c:ptCount val="2"/>
                <c:pt idx="0">
                  <c:v>Electronics</c:v>
                </c:pt>
                <c:pt idx="1">
                  <c:v>Stationary</c:v>
                </c:pt>
              </c:strCache>
            </c:strRef>
          </c:cat>
          <c:val>
            <c:numRef>
              <c:f>Category!$B$4:$B$6</c:f>
              <c:numCache>
                <c:formatCode>General</c:formatCode>
                <c:ptCount val="2"/>
                <c:pt idx="0">
                  <c:v>141300</c:v>
                </c:pt>
                <c:pt idx="1">
                  <c:v>3000</c:v>
                </c:pt>
              </c:numCache>
            </c:numRef>
          </c:val>
          <c:extLst>
            <c:ext xmlns:c16="http://schemas.microsoft.com/office/drawing/2014/chart" uri="{C3380CC4-5D6E-409C-BE32-E72D297353CC}">
              <c16:uniqueId val="{00000000-2DE1-4C8A-AF62-F20AF25271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[Mni projects.xlsx]Sheet8!PivotTable6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Chittagong</c:v>
                </c:pt>
                <c:pt idx="1">
                  <c:v>Dhaka</c:v>
                </c:pt>
                <c:pt idx="2">
                  <c:v>Khulna</c:v>
                </c:pt>
                <c:pt idx="3">
                  <c:v>Sylhet</c:v>
                </c:pt>
              </c:strCache>
            </c:strRef>
          </c:cat>
          <c:val>
            <c:numRef>
              <c:f>Sheet8!$B$4:$B$8</c:f>
              <c:numCache>
                <c:formatCode>General</c:formatCode>
                <c:ptCount val="4"/>
                <c:pt idx="0">
                  <c:v>17500</c:v>
                </c:pt>
                <c:pt idx="1">
                  <c:v>136500</c:v>
                </c:pt>
                <c:pt idx="2">
                  <c:v>17200</c:v>
                </c:pt>
                <c:pt idx="3">
                  <c:v>5100</c:v>
                </c:pt>
              </c:numCache>
            </c:numRef>
          </c:val>
          <c:extLst>
            <c:ext xmlns:c16="http://schemas.microsoft.com/office/drawing/2014/chart" uri="{C3380CC4-5D6E-409C-BE32-E72D297353CC}">
              <c16:uniqueId val="{00000000-9062-4759-8549-B7543A82C34F}"/>
            </c:ext>
          </c:extLst>
        </c:ser>
        <c:dLbls>
          <c:showLegendKey val="0"/>
          <c:showVal val="0"/>
          <c:showCatName val="0"/>
          <c:showSerName val="0"/>
          <c:showPercent val="0"/>
          <c:showBubbleSize val="0"/>
        </c:dLbls>
        <c:gapWidth val="219"/>
        <c:overlap val="-27"/>
        <c:axId val="1013848448"/>
        <c:axId val="878026464"/>
      </c:barChart>
      <c:catAx>
        <c:axId val="10138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26464"/>
        <c:crosses val="autoZero"/>
        <c:auto val="1"/>
        <c:lblAlgn val="ctr"/>
        <c:lblOffset val="100"/>
        <c:noMultiLvlLbl val="0"/>
      </c:catAx>
      <c:valAx>
        <c:axId val="8780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84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807720</xdr:colOff>
      <xdr:row>6</xdr:row>
      <xdr:rowOff>99060</xdr:rowOff>
    </xdr:from>
    <xdr:to>
      <xdr:col>1</xdr:col>
      <xdr:colOff>365760</xdr:colOff>
      <xdr:row>12</xdr:row>
      <xdr:rowOff>144781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3D6AA2A0-EA7A-4220-B77A-5195137E15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7720" y="1615440"/>
              <a:ext cx="1767840"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1661160</xdr:colOff>
      <xdr:row>19</xdr:row>
      <xdr:rowOff>22860</xdr:rowOff>
    </xdr:from>
    <xdr:to>
      <xdr:col>6</xdr:col>
      <xdr:colOff>1798320</xdr:colOff>
      <xdr:row>31</xdr:row>
      <xdr:rowOff>114300</xdr:rowOff>
    </xdr:to>
    <xdr:graphicFrame macro="">
      <xdr:nvGraphicFramePr>
        <xdr:cNvPr id="4" name="Sales">
          <a:extLst>
            <a:ext uri="{FF2B5EF4-FFF2-40B4-BE49-F238E27FC236}">
              <a16:creationId xmlns:a16="http://schemas.microsoft.com/office/drawing/2014/main" id="{1C8B86B9-1C19-48EF-8A1B-202A8E417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99060</xdr:colOff>
      <xdr:row>2</xdr:row>
      <xdr:rowOff>38100</xdr:rowOff>
    </xdr:from>
    <xdr:to>
      <xdr:col>11</xdr:col>
      <xdr:colOff>190500</xdr:colOff>
      <xdr:row>14</xdr:row>
      <xdr:rowOff>129540</xdr:rowOff>
    </xdr:to>
    <xdr:graphicFrame macro="">
      <xdr:nvGraphicFramePr>
        <xdr:cNvPr id="11" name="Region">
          <a:extLst>
            <a:ext uri="{FF2B5EF4-FFF2-40B4-BE49-F238E27FC236}">
              <a16:creationId xmlns:a16="http://schemas.microsoft.com/office/drawing/2014/main" id="{5AB90630-A83A-4BBC-B2E3-15068CE66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19</xdr:row>
      <xdr:rowOff>22860</xdr:rowOff>
    </xdr:from>
    <xdr:to>
      <xdr:col>15</xdr:col>
      <xdr:colOff>373380</xdr:colOff>
      <xdr:row>31</xdr:row>
      <xdr:rowOff>114300</xdr:rowOff>
    </xdr:to>
    <xdr:graphicFrame macro="">
      <xdr:nvGraphicFramePr>
        <xdr:cNvPr id="5" name="category">
          <a:extLst>
            <a:ext uri="{FF2B5EF4-FFF2-40B4-BE49-F238E27FC236}">
              <a16:creationId xmlns:a16="http://schemas.microsoft.com/office/drawing/2014/main" id="{8F71A209-5496-4C8E-8A52-CEF66EB52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533400</xdr:colOff>
      <xdr:row>2</xdr:row>
      <xdr:rowOff>274320</xdr:rowOff>
    </xdr:from>
    <xdr:ext cx="3154680" cy="1844040"/>
    <xdr:sp macro="" textlink="">
      <xdr:nvSpPr>
        <xdr:cNvPr id="8" name="TextBox 7">
          <a:extLst>
            <a:ext uri="{FF2B5EF4-FFF2-40B4-BE49-F238E27FC236}">
              <a16:creationId xmlns:a16="http://schemas.microsoft.com/office/drawing/2014/main" id="{B3269444-6CB1-4B00-AE61-B72B9D03C022}"/>
            </a:ext>
          </a:extLst>
        </xdr:cNvPr>
        <xdr:cNvSpPr txBox="1"/>
      </xdr:nvSpPr>
      <xdr:spPr>
        <a:xfrm>
          <a:off x="10485120" y="1059180"/>
          <a:ext cx="3154680" cy="1844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noAutofit/>
        </a:bodyPr>
        <a:lstStyle/>
        <a:p>
          <a:r>
            <a:rPr lang="en-US" sz="1200" b="1">
              <a:latin typeface="Times New Roman" panose="02020603050405020304" pitchFamily="18" charset="0"/>
              <a:cs typeface="Times New Roman" panose="02020603050405020304" pitchFamily="18" charset="0"/>
            </a:rPr>
            <a:t>Key Insights</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Dhaka dominates total revenue, indicating a strong premium market. </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Electronics contributes the highest share of sales. </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Sales peak in January and decline in subsequent months.</a:t>
          </a:r>
        </a:p>
        <a:p>
          <a:pPr marL="628650" lvl="1" indent="-171450">
            <a:buFont typeface="Arial" panose="020B0604020202020204" pitchFamily="34" charset="0"/>
            <a:buChar char="•"/>
          </a:pPr>
          <a:r>
            <a:rPr lang="en-US" sz="1200">
              <a:latin typeface="Times New Roman" panose="02020603050405020304" pitchFamily="18" charset="0"/>
              <a:cs typeface="Times New Roman" panose="02020603050405020304" pitchFamily="18" charset="0"/>
            </a:rPr>
            <a:t> Stationery shows minimal contribution and potential for growth.</a:t>
          </a:r>
          <a:endParaRPr lang="en-US" sz="1200" b="1">
            <a:latin typeface="Times New Roman" panose="02020603050405020304" pitchFamily="18" charset="0"/>
            <a:cs typeface="Times New Roman" panose="02020603050405020304" pitchFamily="18" charset="0"/>
          </a:endParaRPr>
        </a:p>
      </xdr:txBody>
    </xdr:sp>
    <xdr:clientData/>
  </xdr:oneCellAnchor>
  <xdr:twoCellAnchor>
    <xdr:from>
      <xdr:col>12</xdr:col>
      <xdr:colOff>152400</xdr:colOff>
      <xdr:row>2</xdr:row>
      <xdr:rowOff>114300</xdr:rowOff>
    </xdr:from>
    <xdr:to>
      <xdr:col>16</xdr:col>
      <xdr:colOff>563880</xdr:colOff>
      <xdr:row>7</xdr:row>
      <xdr:rowOff>0</xdr:rowOff>
    </xdr:to>
    <xdr:sp macro="" textlink="">
      <xdr:nvSpPr>
        <xdr:cNvPr id="9" name="Rectangle 8">
          <a:extLst>
            <a:ext uri="{FF2B5EF4-FFF2-40B4-BE49-F238E27FC236}">
              <a16:creationId xmlns:a16="http://schemas.microsoft.com/office/drawing/2014/main" id="{5A273AC8-8A45-421A-B6E4-A66E7EB72DF4}"/>
            </a:ext>
          </a:extLst>
        </xdr:cNvPr>
        <xdr:cNvSpPr/>
      </xdr:nvSpPr>
      <xdr:spPr>
        <a:xfrm>
          <a:off x="10287000" y="685800"/>
          <a:ext cx="2849880" cy="13944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0</xdr:row>
      <xdr:rowOff>91440</xdr:rowOff>
    </xdr:from>
    <xdr:to>
      <xdr:col>2</xdr:col>
      <xdr:colOff>114300</xdr:colOff>
      <xdr:row>4</xdr:row>
      <xdr:rowOff>7620</xdr:rowOff>
    </xdr:to>
    <xdr:sp macro="" textlink="">
      <xdr:nvSpPr>
        <xdr:cNvPr id="13" name="Rectangle 12">
          <a:extLst>
            <a:ext uri="{FF2B5EF4-FFF2-40B4-BE49-F238E27FC236}">
              <a16:creationId xmlns:a16="http://schemas.microsoft.com/office/drawing/2014/main" id="{E94845A8-2764-4ED0-B817-8278E0757C74}"/>
            </a:ext>
          </a:extLst>
        </xdr:cNvPr>
        <xdr:cNvSpPr/>
      </xdr:nvSpPr>
      <xdr:spPr>
        <a:xfrm>
          <a:off x="342900" y="91440"/>
          <a:ext cx="2590800" cy="10668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Times New Roman" panose="02020603050405020304" pitchFamily="18" charset="0"/>
              <a:cs typeface="Times New Roman" panose="02020603050405020304" pitchFamily="18" charset="0"/>
            </a:rPr>
            <a:t>   </a:t>
          </a:r>
          <a:r>
            <a:rPr lang="en-US" sz="2400" b="1">
              <a:solidFill>
                <a:schemeClr val="tx1"/>
              </a:solidFill>
              <a:latin typeface="Times New Roman" panose="02020603050405020304" pitchFamily="18" charset="0"/>
              <a:cs typeface="Times New Roman" panose="02020603050405020304" pitchFamily="18" charset="0"/>
            </a:rPr>
            <a:t>Total Sales($)</a:t>
          </a:r>
        </a:p>
        <a:p>
          <a:pPr algn="ctr"/>
          <a:r>
            <a:rPr lang="en-US" sz="2000" b="1" i="0" u="none" strike="noStrike">
              <a:solidFill>
                <a:schemeClr val="lt1"/>
              </a:solidFill>
              <a:effectLst/>
              <a:latin typeface="Times New Roman" panose="02020603050405020304" pitchFamily="18" charset="0"/>
              <a:ea typeface="+mn-ea"/>
              <a:cs typeface="Times New Roman" panose="02020603050405020304" pitchFamily="18" charset="0"/>
            </a:rPr>
            <a:t>   </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0</xdr:col>
      <xdr:colOff>1013460</xdr:colOff>
      <xdr:row>1</xdr:row>
      <xdr:rowOff>251460</xdr:rowOff>
    </xdr:from>
    <xdr:to>
      <xdr:col>1</xdr:col>
      <xdr:colOff>91440</xdr:colOff>
      <xdr:row>3</xdr:row>
      <xdr:rowOff>68580</xdr:rowOff>
    </xdr:to>
    <xdr:sp macro="" textlink="">
      <xdr:nvSpPr>
        <xdr:cNvPr id="15" name="Rectangle: Rounded Corners 14">
          <a:extLst>
            <a:ext uri="{FF2B5EF4-FFF2-40B4-BE49-F238E27FC236}">
              <a16:creationId xmlns:a16="http://schemas.microsoft.com/office/drawing/2014/main" id="{BD6728FB-1A81-439F-B716-8C8D0B911E23}"/>
            </a:ext>
          </a:extLst>
        </xdr:cNvPr>
        <xdr:cNvSpPr/>
      </xdr:nvSpPr>
      <xdr:spPr>
        <a:xfrm>
          <a:off x="1013460" y="640080"/>
          <a:ext cx="1287780" cy="396240"/>
        </a:xfrm>
        <a:prstGeom prst="roundRect">
          <a:avLst/>
        </a:prstGeom>
        <a:solidFill>
          <a:schemeClr val="accent1"/>
        </a:solidFill>
        <a:ln>
          <a:solidFill>
            <a:schemeClr val="bg2"/>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    176,300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518160</xdr:colOff>
      <xdr:row>1</xdr:row>
      <xdr:rowOff>7620</xdr:rowOff>
    </xdr:from>
    <xdr:to>
      <xdr:col>12</xdr:col>
      <xdr:colOff>213360</xdr:colOff>
      <xdr:row>15</xdr:row>
      <xdr:rowOff>160020</xdr:rowOff>
    </xdr:to>
    <xdr:graphicFrame macro="">
      <xdr:nvGraphicFramePr>
        <xdr:cNvPr id="2" name="Chart 1">
          <a:extLst>
            <a:ext uri="{FF2B5EF4-FFF2-40B4-BE49-F238E27FC236}">
              <a16:creationId xmlns:a16="http://schemas.microsoft.com/office/drawing/2014/main" id="{90802627-D494-47F8-B662-6B42EEBAD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220980</xdr:colOff>
      <xdr:row>1</xdr:row>
      <xdr:rowOff>30480</xdr:rowOff>
    </xdr:from>
    <xdr:to>
      <xdr:col>12</xdr:col>
      <xdr:colOff>182880</xdr:colOff>
      <xdr:row>15</xdr:row>
      <xdr:rowOff>167640</xdr:rowOff>
    </xdr:to>
    <xdr:graphicFrame macro="">
      <xdr:nvGraphicFramePr>
        <xdr:cNvPr id="2" name="Chart 1">
          <a:extLst>
            <a:ext uri="{FF2B5EF4-FFF2-40B4-BE49-F238E27FC236}">
              <a16:creationId xmlns:a16="http://schemas.microsoft.com/office/drawing/2014/main" id="{EFE97F56-AC7C-45B5-89B5-DC5B22CBB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579120</xdr:colOff>
      <xdr:row>9</xdr:row>
      <xdr:rowOff>45720</xdr:rowOff>
    </xdr:from>
    <xdr:to>
      <xdr:col>12</xdr:col>
      <xdr:colOff>274320</xdr:colOff>
      <xdr:row>24</xdr:row>
      <xdr:rowOff>45720</xdr:rowOff>
    </xdr:to>
    <xdr:graphicFrame macro="">
      <xdr:nvGraphicFramePr>
        <xdr:cNvPr id="4" name="Chart 3">
          <a:extLst>
            <a:ext uri="{FF2B5EF4-FFF2-40B4-BE49-F238E27FC236}">
              <a16:creationId xmlns:a16="http://schemas.microsoft.com/office/drawing/2014/main" id="{C671C57E-5914-423D-BCA8-909D36B82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87921</xdr:colOff>
      <xdr:row>4</xdr:row>
      <xdr:rowOff>169986</xdr:rowOff>
    </xdr:from>
    <xdr:to>
      <xdr:col>15</xdr:col>
      <xdr:colOff>328246</xdr:colOff>
      <xdr:row>10</xdr:row>
      <xdr:rowOff>11723</xdr:rowOff>
    </xdr:to>
    <xdr:sp macro="" textlink="">
      <xdr:nvSpPr>
        <xdr:cNvPr id="3" name="Rectangle 2">
          <a:extLst>
            <a:ext uri="{FF2B5EF4-FFF2-40B4-BE49-F238E27FC236}">
              <a16:creationId xmlns:a16="http://schemas.microsoft.com/office/drawing/2014/main" id="{F2831634-76E7-4F8C-9F30-E8E58564A5F2}"/>
            </a:ext>
          </a:extLst>
        </xdr:cNvPr>
        <xdr:cNvSpPr/>
      </xdr:nvSpPr>
      <xdr:spPr>
        <a:xfrm>
          <a:off x="7877906" y="896817"/>
          <a:ext cx="2069125" cy="93198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   </a:t>
          </a:r>
          <a:r>
            <a:rPr lang="en-US" sz="2000" b="1">
              <a:solidFill>
                <a:schemeClr val="tx1"/>
              </a:solidFill>
              <a:latin typeface="Times New Roman" panose="02020603050405020304" pitchFamily="18" charset="0"/>
              <a:cs typeface="Times New Roman" panose="02020603050405020304" pitchFamily="18" charset="0"/>
            </a:rPr>
            <a:t>Total Sales($)</a:t>
          </a:r>
        </a:p>
        <a:p>
          <a:pPr algn="ctr"/>
          <a:r>
            <a:rPr lang="en-US" sz="2000" b="1" i="0" u="none" strike="noStrike">
              <a:solidFill>
                <a:schemeClr val="lt1"/>
              </a:solidFill>
              <a:effectLst/>
              <a:latin typeface="Times New Roman" panose="02020603050405020304" pitchFamily="18" charset="0"/>
              <a:ea typeface="+mn-ea"/>
              <a:cs typeface="Times New Roman" panose="02020603050405020304" pitchFamily="18" charset="0"/>
            </a:rPr>
            <a:t>   </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12</xdr:col>
      <xdr:colOff>509954</xdr:colOff>
      <xdr:row>7</xdr:row>
      <xdr:rowOff>11723</xdr:rowOff>
    </xdr:from>
    <xdr:to>
      <xdr:col>14</xdr:col>
      <xdr:colOff>586154</xdr:colOff>
      <xdr:row>8</xdr:row>
      <xdr:rowOff>123092</xdr:rowOff>
    </xdr:to>
    <xdr:sp macro="" textlink="">
      <xdr:nvSpPr>
        <xdr:cNvPr id="4" name="Rectangle: Rounded Corners 3">
          <a:extLst>
            <a:ext uri="{FF2B5EF4-FFF2-40B4-BE49-F238E27FC236}">
              <a16:creationId xmlns:a16="http://schemas.microsoft.com/office/drawing/2014/main" id="{D099600F-ECA3-4E33-B90B-B1B1C37C5225}"/>
            </a:ext>
          </a:extLst>
        </xdr:cNvPr>
        <xdr:cNvSpPr/>
      </xdr:nvSpPr>
      <xdr:spPr>
        <a:xfrm>
          <a:off x="8299939" y="1283677"/>
          <a:ext cx="1295400" cy="293077"/>
        </a:xfrm>
        <a:prstGeom prst="round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Times New Roman" panose="02020603050405020304" pitchFamily="18" charset="0"/>
              <a:cs typeface="Times New Roman" panose="02020603050405020304" pitchFamily="18" charset="0"/>
            </a:rPr>
            <a:t>    176,300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6131.830915856481" createdVersion="6" refreshedVersion="6" minRefreshableVersion="3" recordCount="10" xr:uid="{9F7D71C4-0330-4331-8509-EFC4F4B87A98}">
  <cacheSource type="worksheet">
    <worksheetSource ref="A1:J11" sheet="Data"/>
  </cacheSource>
  <cacheFields count="10">
    <cacheField name="Order ID" numFmtId="0">
      <sharedItems containsSemiMixedTypes="0" containsString="0" containsNumber="1" containsInteger="1" minValue="1001" maxValue="1010"/>
    </cacheField>
    <cacheField name="Date" numFmtId="14">
      <sharedItems containsSemiMixedTypes="0" containsNonDate="0" containsDate="1" containsString="0" minDate="2026-01-05T00:00:00" maxDate="2026-08-04T00:00:00"/>
    </cacheField>
    <cacheField name="Customer Name" numFmtId="0">
      <sharedItems/>
    </cacheField>
    <cacheField name="product" numFmtId="0">
      <sharedItems/>
    </cacheField>
    <cacheField name="Category" numFmtId="0">
      <sharedItems count="3">
        <s v="Electronics"/>
        <s v="Furniture"/>
        <s v="Stationary"/>
      </sharedItems>
    </cacheField>
    <cacheField name="Region" numFmtId="0">
      <sharedItems count="4">
        <s v="Dhaka"/>
        <s v="Chittagong"/>
        <s v="Khulna"/>
        <s v="Sylhet"/>
      </sharedItems>
    </cacheField>
    <cacheField name="Quantity" numFmtId="0">
      <sharedItems containsSemiMixedTypes="0" containsString="0" containsNumber="1" containsInteger="1" minValue="1" maxValue="10"/>
    </cacheField>
    <cacheField name="Uniit Price" numFmtId="0">
      <sharedItems containsSemiMixedTypes="0" containsString="0" containsNumber="1" containsInteger="1" minValue="150" maxValue="55000"/>
    </cacheField>
    <cacheField name="Total Sales" numFmtId="0">
      <sharedItems containsSemiMixedTypes="0" containsString="0" containsNumber="1" containsInteger="1" minValue="1500" maxValue="110000"/>
    </cacheField>
    <cacheField name="Month" numFmtId="0">
      <sharedItems count="7">
        <s v="Jan"/>
        <s v="Feb"/>
        <s v="Mar"/>
        <s v="May"/>
        <s v="Apr"/>
        <s v="Jun"/>
        <s v="Aug"/>
      </sharedItems>
    </cacheField>
  </cacheFields>
  <extLst>
    <ext xmlns:x14="http://schemas.microsoft.com/office/spreadsheetml/2009/9/main" uri="{725AE2AE-9491-48be-B2B4-4EB974FC3084}">
      <x14:pivotCacheDefinition pivotCacheId="1039164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d v="2026-01-05T00:00:00"/>
    <s v="John Doe"/>
    <s v="Laptop "/>
    <x v="0"/>
    <x v="0"/>
    <n v="2"/>
    <n v="55000"/>
    <n v="110000"/>
    <x v="0"/>
  </r>
  <r>
    <n v="1006"/>
    <d v="2026-02-10T00:00:00"/>
    <s v="Tony Shark"/>
    <s v="Monitor"/>
    <x v="0"/>
    <x v="0"/>
    <n v="1"/>
    <n v="22000"/>
    <n v="22000"/>
    <x v="1"/>
  </r>
  <r>
    <n v="1007"/>
    <d v="2026-03-10T00:00:00"/>
    <s v="Bruce Wayne"/>
    <s v="Sofa"/>
    <x v="1"/>
    <x v="1"/>
    <n v="1"/>
    <n v="15000"/>
    <n v="15000"/>
    <x v="2"/>
  </r>
  <r>
    <n v="1004"/>
    <d v="2026-05-08T00:00:00"/>
    <s v="lisa Roy"/>
    <s v="Desk"/>
    <x v="1"/>
    <x v="2"/>
    <n v="2"/>
    <n v="7000"/>
    <n v="14000"/>
    <x v="3"/>
  </r>
  <r>
    <n v="1005"/>
    <d v="2026-04-01T00:00:00"/>
    <s v="peter parker"/>
    <s v="Keyboard"/>
    <x v="0"/>
    <x v="3"/>
    <n v="3"/>
    <n v="1200"/>
    <n v="3600"/>
    <x v="4"/>
  </r>
  <r>
    <n v="1008"/>
    <d v="2026-05-02T00:00:00"/>
    <s v="Dina Prince"/>
    <s v="Headphone"/>
    <x v="0"/>
    <x v="2"/>
    <n v="4"/>
    <n v="800"/>
    <n v="3200"/>
    <x v="3"/>
  </r>
  <r>
    <n v="1003"/>
    <d v="2026-06-01T00:00:00"/>
    <s v="Alex Smith"/>
    <s v="Chair"/>
    <x v="1"/>
    <x v="0"/>
    <n v="1"/>
    <n v="3000"/>
    <n v="3000"/>
    <x v="5"/>
  </r>
  <r>
    <n v="1002"/>
    <d v="2026-08-03T00:00:00"/>
    <s v="Mary Jane"/>
    <s v=" Mouse"/>
    <x v="0"/>
    <x v="1"/>
    <n v="5"/>
    <n v="500"/>
    <n v="2500"/>
    <x v="6"/>
  </r>
  <r>
    <n v="1009"/>
    <d v="2026-06-04T00:00:00"/>
    <s v="Clark kent"/>
    <s v="Notebok"/>
    <x v="2"/>
    <x v="0"/>
    <n v="10"/>
    <n v="150"/>
    <n v="1500"/>
    <x v="5"/>
  </r>
  <r>
    <n v="1010"/>
    <d v="2026-03-01T00:00:00"/>
    <s v="Natasha Rahman"/>
    <s v="Pen set"/>
    <x v="2"/>
    <x v="3"/>
    <n v="5"/>
    <n v="300"/>
    <n v="1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CC1BC-7FC0-402D-9EFF-47A35F8B143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0">
    <pivotField showAll="0"/>
    <pivotField numFmtId="14" showAll="0"/>
    <pivotField showAll="0"/>
    <pivotField showAll="0"/>
    <pivotField showAll="0"/>
    <pivotField showAll="0"/>
    <pivotField showAll="0"/>
    <pivotField showAll="0"/>
    <pivotField dataField="1" showAll="0"/>
    <pivotField axis="axisRow" showAll="0">
      <items count="8">
        <item x="0"/>
        <item x="1"/>
        <item x="2"/>
        <item x="4"/>
        <item x="3"/>
        <item x="5"/>
        <item x="6"/>
        <item t="default"/>
      </items>
    </pivotField>
  </pivotFields>
  <rowFields count="1">
    <field x="9"/>
  </rowFields>
  <rowItems count="8">
    <i>
      <x/>
    </i>
    <i>
      <x v="1"/>
    </i>
    <i>
      <x v="2"/>
    </i>
    <i>
      <x v="3"/>
    </i>
    <i>
      <x v="4"/>
    </i>
    <i>
      <x v="5"/>
    </i>
    <i>
      <x v="6"/>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55ECD-0611-4F9A-9CD0-121525969F0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0">
    <pivotField showAll="0"/>
    <pivotField numFmtId="14" showAll="0"/>
    <pivotField showAll="0"/>
    <pivotField showAll="0"/>
    <pivotField axis="axisRow" showAll="0" sortType="ascending">
      <items count="4">
        <item x="0"/>
        <item h="1" x="1"/>
        <item x="2"/>
        <item t="default"/>
      </items>
    </pivotField>
    <pivotField showAll="0"/>
    <pivotField showAll="0"/>
    <pivotField showAll="0"/>
    <pivotField dataField="1" showAll="0"/>
    <pivotField showAll="0"/>
  </pivotFields>
  <rowFields count="1">
    <field x="4"/>
  </rowFields>
  <rowItems count="3">
    <i>
      <x/>
    </i>
    <i>
      <x v="2"/>
    </i>
    <i t="grand">
      <x/>
    </i>
  </rowItems>
  <colItems count="1">
    <i/>
  </colItems>
  <dataFields count="1">
    <dataField name="Sum of Total Sales" fld="8"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2FF8A6-B7AF-4891-99EA-18BFE7C5158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8" firstHeaderRow="1" firstDataRow="1" firstDataCol="1"/>
  <pivotFields count="10">
    <pivotField showAll="0"/>
    <pivotField numFmtId="14" showAll="0"/>
    <pivotField showAll="0"/>
    <pivotField showAll="0"/>
    <pivotField showAll="0"/>
    <pivotField axis="axisRow" showAll="0" sortType="ascending">
      <items count="5">
        <item x="1"/>
        <item x="0"/>
        <item x="2"/>
        <item x="3"/>
        <item t="default"/>
      </items>
    </pivotField>
    <pivotField showAll="0"/>
    <pivotField showAll="0"/>
    <pivotField dataField="1" multipleItemSelectionAllowed="1" showAll="0"/>
    <pivotField showAll="0"/>
  </pivotFields>
  <rowFields count="1">
    <field x="5"/>
  </rowFields>
  <rowItems count="5">
    <i>
      <x/>
    </i>
    <i>
      <x v="1"/>
    </i>
    <i>
      <x v="2"/>
    </i>
    <i>
      <x v="3"/>
    </i>
    <i t="grand">
      <x/>
    </i>
  </rowItems>
  <colItems count="1">
    <i/>
  </colItems>
  <dataFields count="1">
    <dataField name="Sum of Total Sales" fld="8" baseField="0" baseItem="0"/>
  </dataFields>
  <chartFormats count="2">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360F4B-FED4-4408-8DFA-52B1EF7EDAEE}" sourceName="Category">
  <pivotTables>
    <pivotTable tabId="6" name="PivotTable5"/>
  </pivotTables>
  <data>
    <tabular pivotCacheId="1039164808">
      <items count="3">
        <i x="0"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3CE4D99-ACB7-44FE-BD5E-8D55055CDC6D}"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B74C14-7DEC-4F8C-AA3C-32B8B01FF888}" name="Table1" displayName="Table1" ref="A1:J11" totalsRowShown="0">
  <autoFilter ref="A1:J11" xr:uid="{575DA2DC-393C-4197-A37B-BA107246348C}"/>
  <tableColumns count="10">
    <tableColumn id="1" xr3:uid="{4CE7ABC2-2347-40E6-A88A-D1B24E70E16D}" name="Order ID"/>
    <tableColumn id="2" xr3:uid="{02B64DC8-0713-4011-A664-561FFF201BAD}" name="Date" dataDxfId="4"/>
    <tableColumn id="3" xr3:uid="{57ECF3DE-569E-478B-9780-0DBD8AF9326F}" name="Customer Name"/>
    <tableColumn id="4" xr3:uid="{2D7B52A2-F2BF-4874-BF14-AA271C56D2A1}" name="product"/>
    <tableColumn id="5" xr3:uid="{CD5ACBFB-C22C-4463-9EE8-68EEA54DB21D}" name="Category"/>
    <tableColumn id="6" xr3:uid="{8DB1E041-0A1E-4BE1-A413-CD1B98E31272}" name="Region"/>
    <tableColumn id="7" xr3:uid="{C86B70E2-A8E8-4158-A3B0-2B781EFD2205}" name="Quantity"/>
    <tableColumn id="8" xr3:uid="{3AF9DEC6-ED1A-446D-BCAE-0A3B591F65AA}" name="Uniit Price"/>
    <tableColumn id="9" xr3:uid="{53B64C3D-B76B-41F6-8A2F-D72DEFC1F862}" name="Total Sales"/>
    <tableColumn id="10" xr3:uid="{AE82B700-5D7E-4269-9217-CCA45AC650B4}"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8735F6-2D9A-4E18-9212-D182DD48EEEE}" name="Table2" displayName="Table2" ref="A1:J11" totalsRowShown="0">
  <autoFilter ref="A1:J11" xr:uid="{3D5D49A1-B0DF-4F20-8222-0CF3325A2682}"/>
  <tableColumns count="10">
    <tableColumn id="1" xr3:uid="{D599E5CF-633C-47F6-8565-FE06C108029A}" name="Order ID"/>
    <tableColumn id="2" xr3:uid="{A13EEBEA-EA04-47DC-BADE-4BE0E9DD1A63}" name="Date" dataDxfId="3"/>
    <tableColumn id="3" xr3:uid="{9C6A20AD-AC71-4A18-9DF5-9BAF6F020983}" name="Customer Name"/>
    <tableColumn id="4" xr3:uid="{61C5B1F7-0C55-47CE-8646-05114D27FA53}" name="product"/>
    <tableColumn id="5" xr3:uid="{E94B99F6-6994-4812-9EEF-0279DAEBDEE2}" name="Category"/>
    <tableColumn id="6" xr3:uid="{77E8BAB0-13B7-427D-B841-10D06B233CB2}" name="Region"/>
    <tableColumn id="7" xr3:uid="{682947D0-E966-40F4-BC67-D20903E020D8}" name="Quantity"/>
    <tableColumn id="8" xr3:uid="{012BA4C7-9C8B-4FAA-A8D2-15EE9A76A59B}" name="Uniit Price"/>
    <tableColumn id="9" xr3:uid="{56D4A7A2-CBD3-4F82-8A75-1A0261699C0D}" name="Total Sales"/>
    <tableColumn id="10" xr3:uid="{3C8A58DE-6373-4A9E-9410-82C2EB7DD989}"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C31B2D-F119-4E77-88CC-B6103D03641F}" name="Table3" displayName="Table3" ref="A1:J11" totalsRowShown="0">
  <autoFilter ref="A1:J11" xr:uid="{3F2E1059-F7DB-44C9-907F-EDD5935D9D55}"/>
  <tableColumns count="10">
    <tableColumn id="1" xr3:uid="{5901FC4E-EEAC-44F4-BF25-4CE6EE2534DE}" name="Order ID"/>
    <tableColumn id="2" xr3:uid="{9AFB0FC4-19B8-4BA4-B0B8-E40B076624E0}" name="Date" dataDxfId="2"/>
    <tableColumn id="3" xr3:uid="{113166EE-A9EA-4BFE-A074-64079C85DFEC}" name="Customer Name"/>
    <tableColumn id="4" xr3:uid="{45988C73-2811-4309-9D41-B5CC5B061C29}" name="product"/>
    <tableColumn id="5" xr3:uid="{90FA38CA-F096-407F-B342-8505000C8CB5}" name="Category"/>
    <tableColumn id="6" xr3:uid="{027572D4-0C20-4850-823D-CB9955EA36DA}" name="Region"/>
    <tableColumn id="7" xr3:uid="{3B9C7D8C-811E-4076-AE33-2A108C069CD4}" name="Quantity"/>
    <tableColumn id="8" xr3:uid="{4A7A6EEC-B4C9-4EE3-B70D-20F09E80AD49}" name="Uniit Price"/>
    <tableColumn id="9" xr3:uid="{1E02698D-B4FF-46D0-BABF-6A726262E701}" name="Total Sales"/>
    <tableColumn id="10" xr3:uid="{0ACEB1F2-689D-4CD2-924A-7682EEFD331E}"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0E108F-7A6A-4D12-BBB5-1229DAD7386F}" name="Table4" displayName="Table4" ref="A1:J11" totalsRowShown="0">
  <autoFilter ref="A1:J11" xr:uid="{BDA47E9F-B387-4227-ACD3-B59102B18F2C}"/>
  <tableColumns count="10">
    <tableColumn id="1" xr3:uid="{275CA235-1913-4676-83A4-9EC9582C3603}" name="Order ID"/>
    <tableColumn id="2" xr3:uid="{A79DB08C-3804-433C-9430-BD6B475A251C}" name="Date" dataDxfId="1"/>
    <tableColumn id="3" xr3:uid="{F56F712E-95CB-4A93-A3BF-60D06F3868F6}" name="Customer Name"/>
    <tableColumn id="4" xr3:uid="{D5D475C4-F6FF-45B2-9DE0-77F6D3AB615D}" name="product"/>
    <tableColumn id="5" xr3:uid="{335E88A0-CE1E-4989-9AE7-26BB00C75318}" name="Category"/>
    <tableColumn id="6" xr3:uid="{50BFE1CC-7CDA-4B20-9118-E115591FBF16}" name="Region"/>
    <tableColumn id="7" xr3:uid="{02B7DFB3-AF51-4F64-A257-9823A616F1C8}" name="Quantity"/>
    <tableColumn id="8" xr3:uid="{623490AE-54C3-4191-B8F7-C5C789A39783}" name="Uniit Price"/>
    <tableColumn id="9" xr3:uid="{76DAE280-0AAA-4174-9C2C-15FE6914E062}" name="Total Sales"/>
    <tableColumn id="10" xr3:uid="{02F221D6-4391-4EE7-B316-35F1627E9805}" name="Mon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6F5F9B-B714-4081-81EF-2D3E98A64181}" name="Table5" displayName="Table5" ref="A1:J11" totalsRowShown="0">
  <autoFilter ref="A1:J11" xr:uid="{E0396B72-F82E-47A7-949B-7D9D013985D7}"/>
  <tableColumns count="10">
    <tableColumn id="1" xr3:uid="{E5C9F4CA-8C7F-4742-AC26-CE2738B1D770}" name="Order ID"/>
    <tableColumn id="2" xr3:uid="{AD3BE77D-ED4D-4A57-972B-7766794D7654}" name="Date" dataDxfId="0"/>
    <tableColumn id="3" xr3:uid="{E6246541-F516-40C2-8FFB-C78C11EF8041}" name="Customer Name"/>
    <tableColumn id="4" xr3:uid="{90CD775E-702E-4D52-BD18-D668ED5A7F1D}" name="product"/>
    <tableColumn id="5" xr3:uid="{63F1477F-939C-417F-9C88-5BBA71EF04BB}" name="Category"/>
    <tableColumn id="6" xr3:uid="{C60A2B41-8D77-420E-A47E-2F05461055BE}" name="Region"/>
    <tableColumn id="7" xr3:uid="{7A518841-7971-415B-9A60-54B1958BB81D}" name="Quantity"/>
    <tableColumn id="8" xr3:uid="{13FCBEE2-4C18-4599-B834-F88A8390F451}" name="Uniit Price"/>
    <tableColumn id="9" xr3:uid="{95F4FB87-2913-4B82-98AD-581729FA9C99}" name="Total Sales"/>
    <tableColumn id="10" xr3:uid="{FE47AD1F-3BE8-4573-A740-8F7125D1AF86}"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BF58-2D65-4B75-B01E-0532D4F5884F}">
  <dimension ref="A1:J11"/>
  <sheetViews>
    <sheetView workbookViewId="0">
      <selection activeCell="A2" sqref="A2:J11"/>
    </sheetView>
  </sheetViews>
  <sheetFormatPr defaultRowHeight="14.4" x14ac:dyDescent="0.3"/>
  <cols>
    <col min="1" max="1" width="9.88671875" customWidth="1"/>
    <col min="3" max="3" width="16.44140625" customWidth="1"/>
    <col min="4" max="4" width="9.5546875" customWidth="1"/>
    <col min="5" max="5" width="10.44140625" customWidth="1"/>
    <col min="7" max="7" width="10.21875" customWidth="1"/>
    <col min="8" max="8" width="11.44140625" customWidth="1"/>
    <col min="9" max="9" width="11.77734375" customWidth="1"/>
  </cols>
  <sheetData>
    <row r="1" spans="1:10" x14ac:dyDescent="0.3">
      <c r="A1" t="s">
        <v>0</v>
      </c>
      <c r="B1" t="s">
        <v>1</v>
      </c>
      <c r="C1" t="s">
        <v>2</v>
      </c>
      <c r="D1" t="s">
        <v>3</v>
      </c>
      <c r="E1" t="s">
        <v>4</v>
      </c>
      <c r="F1" t="s">
        <v>5</v>
      </c>
      <c r="G1" t="s">
        <v>6</v>
      </c>
      <c r="H1" t="s">
        <v>7</v>
      </c>
      <c r="I1" t="s">
        <v>8</v>
      </c>
      <c r="J1" t="s">
        <v>9</v>
      </c>
    </row>
    <row r="2" spans="1:10" x14ac:dyDescent="0.3">
      <c r="A2">
        <v>1001</v>
      </c>
      <c r="B2" s="9">
        <v>46027</v>
      </c>
      <c r="C2" t="s">
        <v>11</v>
      </c>
      <c r="D2" t="s">
        <v>12</v>
      </c>
      <c r="E2" t="s">
        <v>13</v>
      </c>
      <c r="F2" t="s">
        <v>10</v>
      </c>
      <c r="G2">
        <v>2</v>
      </c>
      <c r="H2">
        <v>55000</v>
      </c>
      <c r="I2">
        <v>110000</v>
      </c>
      <c r="J2" t="s">
        <v>14</v>
      </c>
    </row>
    <row r="3" spans="1:10" x14ac:dyDescent="0.3">
      <c r="A3">
        <v>1006</v>
      </c>
      <c r="B3" s="9">
        <v>46063</v>
      </c>
      <c r="C3" t="s">
        <v>15</v>
      </c>
      <c r="D3" t="s">
        <v>16</v>
      </c>
      <c r="E3" t="s">
        <v>13</v>
      </c>
      <c r="F3" t="s">
        <v>10</v>
      </c>
      <c r="G3">
        <v>1</v>
      </c>
      <c r="H3">
        <v>22000</v>
      </c>
      <c r="I3">
        <v>22000</v>
      </c>
      <c r="J3" t="s">
        <v>41</v>
      </c>
    </row>
    <row r="4" spans="1:10" x14ac:dyDescent="0.3">
      <c r="A4">
        <v>1007</v>
      </c>
      <c r="B4" s="9">
        <v>46091</v>
      </c>
      <c r="C4" t="s">
        <v>17</v>
      </c>
      <c r="D4" t="s">
        <v>18</v>
      </c>
      <c r="E4" t="s">
        <v>19</v>
      </c>
      <c r="F4" t="s">
        <v>20</v>
      </c>
      <c r="G4">
        <v>1</v>
      </c>
      <c r="H4">
        <v>15000</v>
      </c>
      <c r="I4">
        <v>15000</v>
      </c>
      <c r="J4" t="s">
        <v>42</v>
      </c>
    </row>
    <row r="5" spans="1:10" x14ac:dyDescent="0.3">
      <c r="A5">
        <v>1004</v>
      </c>
      <c r="B5" s="9">
        <v>46150</v>
      </c>
      <c r="C5" t="s">
        <v>21</v>
      </c>
      <c r="D5" t="s">
        <v>22</v>
      </c>
      <c r="E5" t="s">
        <v>19</v>
      </c>
      <c r="F5" t="s">
        <v>23</v>
      </c>
      <c r="G5">
        <v>2</v>
      </c>
      <c r="H5">
        <v>7000</v>
      </c>
      <c r="I5">
        <v>14000</v>
      </c>
      <c r="J5" t="s">
        <v>44</v>
      </c>
    </row>
    <row r="6" spans="1:10" x14ac:dyDescent="0.3">
      <c r="A6">
        <v>1005</v>
      </c>
      <c r="B6" s="9">
        <v>46113</v>
      </c>
      <c r="C6" t="s">
        <v>24</v>
      </c>
      <c r="D6" t="s">
        <v>25</v>
      </c>
      <c r="E6" t="s">
        <v>13</v>
      </c>
      <c r="F6" t="s">
        <v>26</v>
      </c>
      <c r="G6">
        <v>3</v>
      </c>
      <c r="H6">
        <v>1200</v>
      </c>
      <c r="I6">
        <v>3600</v>
      </c>
      <c r="J6" t="s">
        <v>43</v>
      </c>
    </row>
    <row r="7" spans="1:10" x14ac:dyDescent="0.3">
      <c r="A7">
        <v>1008</v>
      </c>
      <c r="B7" s="9">
        <v>46144</v>
      </c>
      <c r="C7" t="s">
        <v>27</v>
      </c>
      <c r="D7" t="s">
        <v>28</v>
      </c>
      <c r="E7" t="s">
        <v>13</v>
      </c>
      <c r="F7" t="s">
        <v>23</v>
      </c>
      <c r="G7">
        <v>4</v>
      </c>
      <c r="H7">
        <v>800</v>
      </c>
      <c r="I7">
        <v>3200</v>
      </c>
      <c r="J7" t="s">
        <v>44</v>
      </c>
    </row>
    <row r="8" spans="1:10" x14ac:dyDescent="0.3">
      <c r="A8">
        <v>1003</v>
      </c>
      <c r="B8" s="9">
        <v>46174</v>
      </c>
      <c r="C8" t="s">
        <v>29</v>
      </c>
      <c r="D8" t="s">
        <v>30</v>
      </c>
      <c r="E8" t="s">
        <v>19</v>
      </c>
      <c r="F8" t="s">
        <v>10</v>
      </c>
      <c r="G8">
        <v>1</v>
      </c>
      <c r="H8">
        <v>3000</v>
      </c>
      <c r="I8">
        <v>3000</v>
      </c>
      <c r="J8" t="s">
        <v>45</v>
      </c>
    </row>
    <row r="9" spans="1:10" x14ac:dyDescent="0.3">
      <c r="A9">
        <v>1002</v>
      </c>
      <c r="B9" s="9">
        <v>46237</v>
      </c>
      <c r="C9" t="s">
        <v>31</v>
      </c>
      <c r="D9" t="s">
        <v>32</v>
      </c>
      <c r="E9" t="s">
        <v>13</v>
      </c>
      <c r="F9" t="s">
        <v>20</v>
      </c>
      <c r="G9">
        <v>5</v>
      </c>
      <c r="H9">
        <v>500</v>
      </c>
      <c r="I9">
        <v>2500</v>
      </c>
      <c r="J9" t="s">
        <v>46</v>
      </c>
    </row>
    <row r="10" spans="1:10" x14ac:dyDescent="0.3">
      <c r="A10">
        <v>1009</v>
      </c>
      <c r="B10" s="9">
        <v>46177</v>
      </c>
      <c r="C10" t="s">
        <v>33</v>
      </c>
      <c r="D10" t="s">
        <v>34</v>
      </c>
      <c r="E10" t="s">
        <v>35</v>
      </c>
      <c r="F10" t="s">
        <v>10</v>
      </c>
      <c r="G10">
        <v>10</v>
      </c>
      <c r="H10">
        <v>150</v>
      </c>
      <c r="I10">
        <v>1500</v>
      </c>
      <c r="J10" t="s">
        <v>45</v>
      </c>
    </row>
    <row r="11" spans="1:10" x14ac:dyDescent="0.3">
      <c r="A11">
        <v>1010</v>
      </c>
      <c r="B11" s="9">
        <v>46082</v>
      </c>
      <c r="C11" t="s">
        <v>36</v>
      </c>
      <c r="D11" t="s">
        <v>37</v>
      </c>
      <c r="E11" t="s">
        <v>35</v>
      </c>
      <c r="F11" t="s">
        <v>26</v>
      </c>
      <c r="G11">
        <v>5</v>
      </c>
      <c r="H11">
        <v>300</v>
      </c>
      <c r="I11">
        <v>1500</v>
      </c>
      <c r="J1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C300-5AAD-49D6-9EFB-1C458626001B}">
  <dimension ref="A1:J11"/>
  <sheetViews>
    <sheetView workbookViewId="0">
      <selection activeCell="B7" sqref="B7"/>
    </sheetView>
  </sheetViews>
  <sheetFormatPr defaultRowHeight="14.4" x14ac:dyDescent="0.3"/>
  <cols>
    <col min="1" max="1" width="9.88671875" customWidth="1"/>
    <col min="3" max="3" width="16.44140625" customWidth="1"/>
    <col min="4" max="4" width="9.5546875" customWidth="1"/>
    <col min="5" max="5" width="10.44140625" customWidth="1"/>
    <col min="7" max="7" width="10.21875" customWidth="1"/>
    <col min="8" max="8" width="11.44140625" customWidth="1"/>
    <col min="9" max="9" width="11.77734375" customWidth="1"/>
  </cols>
  <sheetData>
    <row r="1" spans="1:10" x14ac:dyDescent="0.3">
      <c r="A1" t="s">
        <v>0</v>
      </c>
      <c r="B1" t="s">
        <v>1</v>
      </c>
      <c r="C1" t="s">
        <v>2</v>
      </c>
      <c r="D1" t="s">
        <v>3</v>
      </c>
      <c r="E1" t="s">
        <v>4</v>
      </c>
      <c r="F1" t="s">
        <v>5</v>
      </c>
      <c r="G1" t="s">
        <v>6</v>
      </c>
      <c r="H1" t="s">
        <v>7</v>
      </c>
      <c r="I1" t="s">
        <v>8</v>
      </c>
      <c r="J1" t="s">
        <v>9</v>
      </c>
    </row>
    <row r="2" spans="1:10" x14ac:dyDescent="0.3">
      <c r="A2">
        <v>1001</v>
      </c>
      <c r="B2" s="9">
        <v>46027</v>
      </c>
      <c r="C2" t="s">
        <v>11</v>
      </c>
      <c r="D2" t="s">
        <v>12</v>
      </c>
      <c r="E2" t="s">
        <v>13</v>
      </c>
      <c r="F2" t="s">
        <v>10</v>
      </c>
      <c r="G2">
        <v>2</v>
      </c>
      <c r="H2">
        <v>55000</v>
      </c>
      <c r="I2">
        <v>110000</v>
      </c>
      <c r="J2" t="s">
        <v>14</v>
      </c>
    </row>
    <row r="3" spans="1:10" x14ac:dyDescent="0.3">
      <c r="A3">
        <v>1006</v>
      </c>
      <c r="B3" s="9">
        <v>46063</v>
      </c>
      <c r="C3" t="s">
        <v>15</v>
      </c>
      <c r="D3" t="s">
        <v>16</v>
      </c>
      <c r="E3" t="s">
        <v>13</v>
      </c>
      <c r="F3" t="s">
        <v>10</v>
      </c>
      <c r="G3">
        <v>1</v>
      </c>
      <c r="H3">
        <v>22000</v>
      </c>
      <c r="I3">
        <v>22000</v>
      </c>
      <c r="J3" t="s">
        <v>41</v>
      </c>
    </row>
    <row r="4" spans="1:10" x14ac:dyDescent="0.3">
      <c r="A4">
        <v>1007</v>
      </c>
      <c r="B4" s="9">
        <v>46091</v>
      </c>
      <c r="C4" t="s">
        <v>17</v>
      </c>
      <c r="D4" t="s">
        <v>18</v>
      </c>
      <c r="E4" t="s">
        <v>19</v>
      </c>
      <c r="F4" t="s">
        <v>20</v>
      </c>
      <c r="G4">
        <v>1</v>
      </c>
      <c r="H4">
        <v>15000</v>
      </c>
      <c r="I4">
        <v>15000</v>
      </c>
      <c r="J4" t="s">
        <v>42</v>
      </c>
    </row>
    <row r="5" spans="1:10" x14ac:dyDescent="0.3">
      <c r="A5">
        <v>1004</v>
      </c>
      <c r="B5" s="9">
        <v>46150</v>
      </c>
      <c r="C5" t="s">
        <v>21</v>
      </c>
      <c r="D5" t="s">
        <v>22</v>
      </c>
      <c r="E5" t="s">
        <v>19</v>
      </c>
      <c r="F5" t="s">
        <v>23</v>
      </c>
      <c r="G5">
        <v>2</v>
      </c>
      <c r="H5">
        <v>7000</v>
      </c>
      <c r="I5">
        <v>14000</v>
      </c>
      <c r="J5" t="s">
        <v>44</v>
      </c>
    </row>
    <row r="6" spans="1:10" x14ac:dyDescent="0.3">
      <c r="A6">
        <v>1005</v>
      </c>
      <c r="B6" s="9">
        <v>46113</v>
      </c>
      <c r="C6" t="s">
        <v>24</v>
      </c>
      <c r="D6" t="s">
        <v>25</v>
      </c>
      <c r="E6" t="s">
        <v>13</v>
      </c>
      <c r="F6" t="s">
        <v>26</v>
      </c>
      <c r="G6">
        <v>3</v>
      </c>
      <c r="H6">
        <v>1200</v>
      </c>
      <c r="I6">
        <v>3600</v>
      </c>
      <c r="J6" t="s">
        <v>43</v>
      </c>
    </row>
    <row r="7" spans="1:10" x14ac:dyDescent="0.3">
      <c r="A7">
        <v>1008</v>
      </c>
      <c r="B7" s="9">
        <v>46144</v>
      </c>
      <c r="C7" t="s">
        <v>27</v>
      </c>
      <c r="D7" t="s">
        <v>28</v>
      </c>
      <c r="E7" t="s">
        <v>13</v>
      </c>
      <c r="F7" t="s">
        <v>23</v>
      </c>
      <c r="G7">
        <v>4</v>
      </c>
      <c r="H7">
        <v>800</v>
      </c>
      <c r="I7">
        <v>3200</v>
      </c>
      <c r="J7" t="s">
        <v>44</v>
      </c>
    </row>
    <row r="8" spans="1:10" x14ac:dyDescent="0.3">
      <c r="A8">
        <v>1003</v>
      </c>
      <c r="B8" s="9">
        <v>46174</v>
      </c>
      <c r="C8" t="s">
        <v>29</v>
      </c>
      <c r="D8" t="s">
        <v>30</v>
      </c>
      <c r="E8" t="s">
        <v>19</v>
      </c>
      <c r="F8" t="s">
        <v>10</v>
      </c>
      <c r="G8">
        <v>1</v>
      </c>
      <c r="H8">
        <v>3000</v>
      </c>
      <c r="I8">
        <v>3000</v>
      </c>
      <c r="J8" t="s">
        <v>45</v>
      </c>
    </row>
    <row r="9" spans="1:10" x14ac:dyDescent="0.3">
      <c r="A9">
        <v>1002</v>
      </c>
      <c r="B9" s="9">
        <v>46237</v>
      </c>
      <c r="C9" t="s">
        <v>31</v>
      </c>
      <c r="D9" t="s">
        <v>32</v>
      </c>
      <c r="E9" t="s">
        <v>13</v>
      </c>
      <c r="F9" t="s">
        <v>20</v>
      </c>
      <c r="G9">
        <v>5</v>
      </c>
      <c r="H9">
        <v>500</v>
      </c>
      <c r="I9">
        <v>2500</v>
      </c>
      <c r="J9" t="s">
        <v>46</v>
      </c>
    </row>
    <row r="10" spans="1:10" x14ac:dyDescent="0.3">
      <c r="A10">
        <v>1009</v>
      </c>
      <c r="B10" s="9">
        <v>46177</v>
      </c>
      <c r="C10" t="s">
        <v>33</v>
      </c>
      <c r="D10" t="s">
        <v>34</v>
      </c>
      <c r="E10" t="s">
        <v>35</v>
      </c>
      <c r="F10" t="s">
        <v>10</v>
      </c>
      <c r="G10">
        <v>10</v>
      </c>
      <c r="H10">
        <v>150</v>
      </c>
      <c r="I10">
        <v>1500</v>
      </c>
      <c r="J10" t="s">
        <v>45</v>
      </c>
    </row>
    <row r="11" spans="1:10" x14ac:dyDescent="0.3">
      <c r="A11">
        <v>1010</v>
      </c>
      <c r="B11" s="9">
        <v>46082</v>
      </c>
      <c r="C11" t="s">
        <v>36</v>
      </c>
      <c r="D11" t="s">
        <v>37</v>
      </c>
      <c r="E11" t="s">
        <v>35</v>
      </c>
      <c r="F11" t="s">
        <v>26</v>
      </c>
      <c r="G11">
        <v>5</v>
      </c>
      <c r="H11">
        <v>300</v>
      </c>
      <c r="I11">
        <v>1500</v>
      </c>
      <c r="J11"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C270-F533-434B-B630-291325157A44}">
  <dimension ref="A1:J11"/>
  <sheetViews>
    <sheetView workbookViewId="0">
      <selection sqref="A1:J11"/>
    </sheetView>
  </sheetViews>
  <sheetFormatPr defaultRowHeight="14.4" x14ac:dyDescent="0.3"/>
  <cols>
    <col min="1" max="1" width="9.88671875" customWidth="1"/>
    <col min="3" max="3" width="16.44140625" customWidth="1"/>
    <col min="4" max="4" width="9.5546875" customWidth="1"/>
    <col min="5" max="5" width="10.44140625" customWidth="1"/>
    <col min="7" max="7" width="10.21875" customWidth="1"/>
    <col min="8" max="8" width="11.44140625" customWidth="1"/>
    <col min="9" max="9" width="11.77734375" customWidth="1"/>
  </cols>
  <sheetData>
    <row r="1" spans="1:10" x14ac:dyDescent="0.3">
      <c r="A1" t="s">
        <v>0</v>
      </c>
      <c r="B1" t="s">
        <v>1</v>
      </c>
      <c r="C1" t="s">
        <v>2</v>
      </c>
      <c r="D1" t="s">
        <v>3</v>
      </c>
      <c r="E1" t="s">
        <v>4</v>
      </c>
      <c r="F1" t="s">
        <v>5</v>
      </c>
      <c r="G1" t="s">
        <v>6</v>
      </c>
      <c r="H1" t="s">
        <v>7</v>
      </c>
      <c r="I1" t="s">
        <v>8</v>
      </c>
      <c r="J1" t="s">
        <v>9</v>
      </c>
    </row>
    <row r="2" spans="1:10" x14ac:dyDescent="0.3">
      <c r="A2">
        <v>1001</v>
      </c>
      <c r="B2" s="9">
        <v>46027</v>
      </c>
      <c r="C2" t="s">
        <v>11</v>
      </c>
      <c r="D2" t="s">
        <v>12</v>
      </c>
      <c r="E2" t="s">
        <v>13</v>
      </c>
      <c r="F2" t="s">
        <v>10</v>
      </c>
      <c r="G2">
        <v>2</v>
      </c>
      <c r="H2">
        <v>55000</v>
      </c>
      <c r="I2">
        <v>110000</v>
      </c>
      <c r="J2" t="s">
        <v>14</v>
      </c>
    </row>
    <row r="3" spans="1:10" x14ac:dyDescent="0.3">
      <c r="A3">
        <v>1006</v>
      </c>
      <c r="B3" s="9">
        <v>46063</v>
      </c>
      <c r="C3" t="s">
        <v>15</v>
      </c>
      <c r="D3" t="s">
        <v>16</v>
      </c>
      <c r="E3" t="s">
        <v>13</v>
      </c>
      <c r="F3" t="s">
        <v>10</v>
      </c>
      <c r="G3">
        <v>1</v>
      </c>
      <c r="H3">
        <v>22000</v>
      </c>
      <c r="I3">
        <v>22000</v>
      </c>
      <c r="J3" t="s">
        <v>41</v>
      </c>
    </row>
    <row r="4" spans="1:10" x14ac:dyDescent="0.3">
      <c r="A4">
        <v>1007</v>
      </c>
      <c r="B4" s="9">
        <v>46091</v>
      </c>
      <c r="C4" t="s">
        <v>17</v>
      </c>
      <c r="D4" t="s">
        <v>18</v>
      </c>
      <c r="E4" t="s">
        <v>19</v>
      </c>
      <c r="F4" t="s">
        <v>20</v>
      </c>
      <c r="G4">
        <v>1</v>
      </c>
      <c r="H4">
        <v>15000</v>
      </c>
      <c r="I4">
        <v>15000</v>
      </c>
      <c r="J4" t="s">
        <v>42</v>
      </c>
    </row>
    <row r="5" spans="1:10" x14ac:dyDescent="0.3">
      <c r="A5">
        <v>1004</v>
      </c>
      <c r="B5" s="9">
        <v>46150</v>
      </c>
      <c r="C5" t="s">
        <v>21</v>
      </c>
      <c r="D5" t="s">
        <v>22</v>
      </c>
      <c r="E5" t="s">
        <v>19</v>
      </c>
      <c r="F5" t="s">
        <v>23</v>
      </c>
      <c r="G5">
        <v>2</v>
      </c>
      <c r="H5">
        <v>7000</v>
      </c>
      <c r="I5">
        <v>14000</v>
      </c>
      <c r="J5" t="s">
        <v>44</v>
      </c>
    </row>
    <row r="6" spans="1:10" x14ac:dyDescent="0.3">
      <c r="A6">
        <v>1005</v>
      </c>
      <c r="B6" s="9">
        <v>46113</v>
      </c>
      <c r="C6" t="s">
        <v>24</v>
      </c>
      <c r="D6" t="s">
        <v>25</v>
      </c>
      <c r="E6" t="s">
        <v>13</v>
      </c>
      <c r="F6" t="s">
        <v>26</v>
      </c>
      <c r="G6">
        <v>3</v>
      </c>
      <c r="H6">
        <v>1200</v>
      </c>
      <c r="I6">
        <v>3600</v>
      </c>
      <c r="J6" t="s">
        <v>43</v>
      </c>
    </row>
    <row r="7" spans="1:10" x14ac:dyDescent="0.3">
      <c r="A7">
        <v>1008</v>
      </c>
      <c r="B7" s="9">
        <v>46144</v>
      </c>
      <c r="C7" t="s">
        <v>27</v>
      </c>
      <c r="D7" t="s">
        <v>28</v>
      </c>
      <c r="E7" t="s">
        <v>13</v>
      </c>
      <c r="F7" t="s">
        <v>23</v>
      </c>
      <c r="G7">
        <v>4</v>
      </c>
      <c r="H7">
        <v>800</v>
      </c>
      <c r="I7">
        <v>3200</v>
      </c>
      <c r="J7" t="s">
        <v>44</v>
      </c>
    </row>
    <row r="8" spans="1:10" x14ac:dyDescent="0.3">
      <c r="A8">
        <v>1003</v>
      </c>
      <c r="B8" s="9">
        <v>46174</v>
      </c>
      <c r="C8" t="s">
        <v>29</v>
      </c>
      <c r="D8" t="s">
        <v>30</v>
      </c>
      <c r="E8" t="s">
        <v>19</v>
      </c>
      <c r="F8" t="s">
        <v>10</v>
      </c>
      <c r="G8">
        <v>1</v>
      </c>
      <c r="H8">
        <v>3000</v>
      </c>
      <c r="I8">
        <v>3000</v>
      </c>
      <c r="J8" t="s">
        <v>45</v>
      </c>
    </row>
    <row r="9" spans="1:10" x14ac:dyDescent="0.3">
      <c r="A9">
        <v>1002</v>
      </c>
      <c r="B9" s="9">
        <v>46237</v>
      </c>
      <c r="C9" t="s">
        <v>31</v>
      </c>
      <c r="D9" t="s">
        <v>32</v>
      </c>
      <c r="E9" t="s">
        <v>13</v>
      </c>
      <c r="F9" t="s">
        <v>20</v>
      </c>
      <c r="G9">
        <v>5</v>
      </c>
      <c r="H9">
        <v>500</v>
      </c>
      <c r="I9">
        <v>2500</v>
      </c>
      <c r="J9" t="s">
        <v>46</v>
      </c>
    </row>
    <row r="10" spans="1:10" x14ac:dyDescent="0.3">
      <c r="A10">
        <v>1009</v>
      </c>
      <c r="B10" s="9">
        <v>46177</v>
      </c>
      <c r="C10" t="s">
        <v>33</v>
      </c>
      <c r="D10" t="s">
        <v>34</v>
      </c>
      <c r="E10" t="s">
        <v>35</v>
      </c>
      <c r="F10" t="s">
        <v>10</v>
      </c>
      <c r="G10">
        <v>10</v>
      </c>
      <c r="H10">
        <v>150</v>
      </c>
      <c r="I10">
        <v>1500</v>
      </c>
      <c r="J10" t="s">
        <v>45</v>
      </c>
    </row>
    <row r="11" spans="1:10" x14ac:dyDescent="0.3">
      <c r="A11">
        <v>1010</v>
      </c>
      <c r="B11" s="9">
        <v>46082</v>
      </c>
      <c r="C11" t="s">
        <v>36</v>
      </c>
      <c r="D11" t="s">
        <v>37</v>
      </c>
      <c r="E11" t="s">
        <v>35</v>
      </c>
      <c r="F11" t="s">
        <v>26</v>
      </c>
      <c r="G11">
        <v>5</v>
      </c>
      <c r="H11">
        <v>300</v>
      </c>
      <c r="I11">
        <v>1500</v>
      </c>
      <c r="J11" t="s">
        <v>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D97B0-7CE0-4B6D-9CE1-039AA7C27453}">
  <dimension ref="A1:J11"/>
  <sheetViews>
    <sheetView workbookViewId="0">
      <selection activeCell="E34" sqref="E34"/>
    </sheetView>
  </sheetViews>
  <sheetFormatPr defaultRowHeight="14.4" x14ac:dyDescent="0.3"/>
  <cols>
    <col min="1" max="1" width="9.88671875" customWidth="1"/>
    <col min="3" max="3" width="16.44140625" customWidth="1"/>
    <col min="4" max="4" width="9.5546875" customWidth="1"/>
    <col min="5" max="5" width="10.44140625" customWidth="1"/>
    <col min="7" max="7" width="10.21875" customWidth="1"/>
    <col min="8" max="8" width="11.44140625" customWidth="1"/>
    <col min="9" max="9" width="11.77734375" customWidth="1"/>
  </cols>
  <sheetData>
    <row r="1" spans="1:10" x14ac:dyDescent="0.3">
      <c r="A1" t="s">
        <v>0</v>
      </c>
      <c r="B1" t="s">
        <v>1</v>
      </c>
      <c r="C1" t="s">
        <v>2</v>
      </c>
      <c r="D1" t="s">
        <v>3</v>
      </c>
      <c r="E1" t="s">
        <v>4</v>
      </c>
      <c r="F1" t="s">
        <v>5</v>
      </c>
      <c r="G1" t="s">
        <v>6</v>
      </c>
      <c r="H1" t="s">
        <v>7</v>
      </c>
      <c r="I1" t="s">
        <v>8</v>
      </c>
      <c r="J1" t="s">
        <v>9</v>
      </c>
    </row>
    <row r="2" spans="1:10" x14ac:dyDescent="0.3">
      <c r="A2">
        <v>1001</v>
      </c>
      <c r="B2" s="9">
        <v>46027</v>
      </c>
      <c r="C2" t="s">
        <v>11</v>
      </c>
      <c r="D2" t="s">
        <v>12</v>
      </c>
      <c r="E2" t="s">
        <v>13</v>
      </c>
      <c r="F2" t="s">
        <v>10</v>
      </c>
      <c r="G2">
        <v>2</v>
      </c>
      <c r="H2">
        <v>55000</v>
      </c>
      <c r="I2">
        <v>110000</v>
      </c>
      <c r="J2" t="s">
        <v>14</v>
      </c>
    </row>
    <row r="3" spans="1:10" x14ac:dyDescent="0.3">
      <c r="A3">
        <v>1006</v>
      </c>
      <c r="B3" s="9">
        <v>46063</v>
      </c>
      <c r="C3" t="s">
        <v>15</v>
      </c>
      <c r="D3" t="s">
        <v>16</v>
      </c>
      <c r="E3" t="s">
        <v>13</v>
      </c>
      <c r="F3" t="s">
        <v>10</v>
      </c>
      <c r="G3">
        <v>1</v>
      </c>
      <c r="H3">
        <v>22000</v>
      </c>
      <c r="I3">
        <v>22000</v>
      </c>
      <c r="J3" t="s">
        <v>41</v>
      </c>
    </row>
    <row r="4" spans="1:10" x14ac:dyDescent="0.3">
      <c r="A4">
        <v>1007</v>
      </c>
      <c r="B4" s="9">
        <v>46091</v>
      </c>
      <c r="C4" t="s">
        <v>17</v>
      </c>
      <c r="D4" t="s">
        <v>18</v>
      </c>
      <c r="E4" t="s">
        <v>19</v>
      </c>
      <c r="F4" t="s">
        <v>20</v>
      </c>
      <c r="G4">
        <v>1</v>
      </c>
      <c r="H4">
        <v>15000</v>
      </c>
      <c r="I4">
        <v>15000</v>
      </c>
      <c r="J4" t="s">
        <v>42</v>
      </c>
    </row>
    <row r="5" spans="1:10" x14ac:dyDescent="0.3">
      <c r="A5">
        <v>1004</v>
      </c>
      <c r="B5" s="9">
        <v>46150</v>
      </c>
      <c r="C5" t="s">
        <v>21</v>
      </c>
      <c r="D5" t="s">
        <v>22</v>
      </c>
      <c r="E5" t="s">
        <v>19</v>
      </c>
      <c r="F5" t="s">
        <v>23</v>
      </c>
      <c r="G5">
        <v>2</v>
      </c>
      <c r="H5">
        <v>7000</v>
      </c>
      <c r="I5">
        <v>14000</v>
      </c>
      <c r="J5" t="s">
        <v>44</v>
      </c>
    </row>
    <row r="6" spans="1:10" x14ac:dyDescent="0.3">
      <c r="A6">
        <v>1005</v>
      </c>
      <c r="B6" s="9">
        <v>46113</v>
      </c>
      <c r="C6" t="s">
        <v>24</v>
      </c>
      <c r="D6" t="s">
        <v>25</v>
      </c>
      <c r="E6" t="s">
        <v>13</v>
      </c>
      <c r="F6" t="s">
        <v>26</v>
      </c>
      <c r="G6">
        <v>3</v>
      </c>
      <c r="H6">
        <v>1200</v>
      </c>
      <c r="I6">
        <v>3600</v>
      </c>
      <c r="J6" t="s">
        <v>43</v>
      </c>
    </row>
    <row r="7" spans="1:10" x14ac:dyDescent="0.3">
      <c r="A7">
        <v>1008</v>
      </c>
      <c r="B7" s="9">
        <v>46144</v>
      </c>
      <c r="C7" t="s">
        <v>27</v>
      </c>
      <c r="D7" t="s">
        <v>28</v>
      </c>
      <c r="E7" t="s">
        <v>13</v>
      </c>
      <c r="F7" t="s">
        <v>23</v>
      </c>
      <c r="G7">
        <v>4</v>
      </c>
      <c r="H7">
        <v>800</v>
      </c>
      <c r="I7">
        <v>3200</v>
      </c>
      <c r="J7" t="s">
        <v>44</v>
      </c>
    </row>
    <row r="8" spans="1:10" x14ac:dyDescent="0.3">
      <c r="A8">
        <v>1003</v>
      </c>
      <c r="B8" s="9">
        <v>46174</v>
      </c>
      <c r="C8" t="s">
        <v>29</v>
      </c>
      <c r="D8" t="s">
        <v>30</v>
      </c>
      <c r="E8" t="s">
        <v>19</v>
      </c>
      <c r="F8" t="s">
        <v>10</v>
      </c>
      <c r="G8">
        <v>1</v>
      </c>
      <c r="H8">
        <v>3000</v>
      </c>
      <c r="I8">
        <v>3000</v>
      </c>
      <c r="J8" t="s">
        <v>45</v>
      </c>
    </row>
    <row r="9" spans="1:10" x14ac:dyDescent="0.3">
      <c r="A9">
        <v>1002</v>
      </c>
      <c r="B9" s="9">
        <v>46237</v>
      </c>
      <c r="C9" t="s">
        <v>31</v>
      </c>
      <c r="D9" t="s">
        <v>32</v>
      </c>
      <c r="E9" t="s">
        <v>13</v>
      </c>
      <c r="F9" t="s">
        <v>20</v>
      </c>
      <c r="G9">
        <v>5</v>
      </c>
      <c r="H9">
        <v>500</v>
      </c>
      <c r="I9">
        <v>2500</v>
      </c>
      <c r="J9" t="s">
        <v>46</v>
      </c>
    </row>
    <row r="10" spans="1:10" x14ac:dyDescent="0.3">
      <c r="A10">
        <v>1009</v>
      </c>
      <c r="B10" s="9">
        <v>46177</v>
      </c>
      <c r="C10" t="s">
        <v>33</v>
      </c>
      <c r="D10" t="s">
        <v>34</v>
      </c>
      <c r="E10" t="s">
        <v>35</v>
      </c>
      <c r="F10" t="s">
        <v>10</v>
      </c>
      <c r="G10">
        <v>10</v>
      </c>
      <c r="H10">
        <v>150</v>
      </c>
      <c r="I10">
        <v>1500</v>
      </c>
      <c r="J10" t="s">
        <v>45</v>
      </c>
    </row>
    <row r="11" spans="1:10" x14ac:dyDescent="0.3">
      <c r="A11">
        <v>1010</v>
      </c>
      <c r="B11" s="9">
        <v>46082</v>
      </c>
      <c r="C11" t="s">
        <v>36</v>
      </c>
      <c r="D11" t="s">
        <v>37</v>
      </c>
      <c r="E11" t="s">
        <v>35</v>
      </c>
      <c r="F11" t="s">
        <v>26</v>
      </c>
      <c r="G11">
        <v>5</v>
      </c>
      <c r="H11">
        <v>300</v>
      </c>
      <c r="I11">
        <v>1500</v>
      </c>
      <c r="J11" t="s">
        <v>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55D4-1DEA-49B9-ACB6-DB9039C9EB5B}">
  <dimension ref="A1:J11"/>
  <sheetViews>
    <sheetView workbookViewId="0">
      <selection sqref="A1:J11"/>
    </sheetView>
  </sheetViews>
  <sheetFormatPr defaultRowHeight="14.4" x14ac:dyDescent="0.3"/>
  <cols>
    <col min="1" max="1" width="9.88671875" customWidth="1"/>
    <col min="3" max="3" width="16.44140625" customWidth="1"/>
    <col min="4" max="4" width="9.5546875" customWidth="1"/>
    <col min="5" max="5" width="10.44140625" customWidth="1"/>
    <col min="7" max="7" width="10.21875" customWidth="1"/>
    <col min="8" max="8" width="11.44140625" customWidth="1"/>
    <col min="9" max="9" width="11.77734375" customWidth="1"/>
  </cols>
  <sheetData>
    <row r="1" spans="1:10" x14ac:dyDescent="0.3">
      <c r="A1" t="s">
        <v>0</v>
      </c>
      <c r="B1" t="s">
        <v>1</v>
      </c>
      <c r="C1" t="s">
        <v>2</v>
      </c>
      <c r="D1" t="s">
        <v>3</v>
      </c>
      <c r="E1" t="s">
        <v>4</v>
      </c>
      <c r="F1" t="s">
        <v>5</v>
      </c>
      <c r="G1" t="s">
        <v>6</v>
      </c>
      <c r="H1" t="s">
        <v>7</v>
      </c>
      <c r="I1" t="s">
        <v>8</v>
      </c>
      <c r="J1" t="s">
        <v>9</v>
      </c>
    </row>
    <row r="2" spans="1:10" x14ac:dyDescent="0.3">
      <c r="A2">
        <v>1001</v>
      </c>
      <c r="B2" s="9">
        <v>46027</v>
      </c>
      <c r="C2" t="s">
        <v>11</v>
      </c>
      <c r="D2" t="s">
        <v>12</v>
      </c>
      <c r="E2" t="s">
        <v>13</v>
      </c>
      <c r="F2" t="s">
        <v>10</v>
      </c>
      <c r="G2">
        <v>2</v>
      </c>
      <c r="H2">
        <v>55000</v>
      </c>
      <c r="I2">
        <v>110000</v>
      </c>
      <c r="J2" t="s">
        <v>14</v>
      </c>
    </row>
    <row r="3" spans="1:10" x14ac:dyDescent="0.3">
      <c r="A3">
        <v>1006</v>
      </c>
      <c r="B3" s="9">
        <v>46063</v>
      </c>
      <c r="C3" t="s">
        <v>15</v>
      </c>
      <c r="D3" t="s">
        <v>16</v>
      </c>
      <c r="E3" t="s">
        <v>13</v>
      </c>
      <c r="F3" t="s">
        <v>10</v>
      </c>
      <c r="G3">
        <v>1</v>
      </c>
      <c r="H3">
        <v>22000</v>
      </c>
      <c r="I3">
        <v>22000</v>
      </c>
      <c r="J3" t="s">
        <v>41</v>
      </c>
    </row>
    <row r="4" spans="1:10" x14ac:dyDescent="0.3">
      <c r="A4">
        <v>1007</v>
      </c>
      <c r="B4" s="9">
        <v>46091</v>
      </c>
      <c r="C4" t="s">
        <v>17</v>
      </c>
      <c r="D4" t="s">
        <v>18</v>
      </c>
      <c r="E4" t="s">
        <v>19</v>
      </c>
      <c r="F4" t="s">
        <v>20</v>
      </c>
      <c r="G4">
        <v>1</v>
      </c>
      <c r="H4">
        <v>15000</v>
      </c>
      <c r="I4">
        <v>15000</v>
      </c>
      <c r="J4" t="s">
        <v>42</v>
      </c>
    </row>
    <row r="5" spans="1:10" x14ac:dyDescent="0.3">
      <c r="A5">
        <v>1004</v>
      </c>
      <c r="B5" s="9">
        <v>46150</v>
      </c>
      <c r="C5" t="s">
        <v>21</v>
      </c>
      <c r="D5" t="s">
        <v>22</v>
      </c>
      <c r="E5" t="s">
        <v>19</v>
      </c>
      <c r="F5" t="s">
        <v>23</v>
      </c>
      <c r="G5">
        <v>2</v>
      </c>
      <c r="H5">
        <v>7000</v>
      </c>
      <c r="I5">
        <v>14000</v>
      </c>
      <c r="J5" t="s">
        <v>44</v>
      </c>
    </row>
    <row r="6" spans="1:10" x14ac:dyDescent="0.3">
      <c r="A6">
        <v>1005</v>
      </c>
      <c r="B6" s="9">
        <v>46113</v>
      </c>
      <c r="C6" t="s">
        <v>24</v>
      </c>
      <c r="D6" t="s">
        <v>25</v>
      </c>
      <c r="E6" t="s">
        <v>13</v>
      </c>
      <c r="F6" t="s">
        <v>26</v>
      </c>
      <c r="G6">
        <v>3</v>
      </c>
      <c r="H6">
        <v>1200</v>
      </c>
      <c r="I6">
        <v>3600</v>
      </c>
      <c r="J6" t="s">
        <v>43</v>
      </c>
    </row>
    <row r="7" spans="1:10" x14ac:dyDescent="0.3">
      <c r="A7">
        <v>1008</v>
      </c>
      <c r="B7" s="9">
        <v>46144</v>
      </c>
      <c r="C7" t="s">
        <v>27</v>
      </c>
      <c r="D7" t="s">
        <v>28</v>
      </c>
      <c r="E7" t="s">
        <v>13</v>
      </c>
      <c r="F7" t="s">
        <v>23</v>
      </c>
      <c r="G7">
        <v>4</v>
      </c>
      <c r="H7">
        <v>800</v>
      </c>
      <c r="I7">
        <v>3200</v>
      </c>
      <c r="J7" t="s">
        <v>44</v>
      </c>
    </row>
    <row r="8" spans="1:10" x14ac:dyDescent="0.3">
      <c r="A8">
        <v>1003</v>
      </c>
      <c r="B8" s="9">
        <v>46174</v>
      </c>
      <c r="C8" t="s">
        <v>29</v>
      </c>
      <c r="D8" t="s">
        <v>30</v>
      </c>
      <c r="E8" t="s">
        <v>19</v>
      </c>
      <c r="F8" t="s">
        <v>10</v>
      </c>
      <c r="G8">
        <v>1</v>
      </c>
      <c r="H8">
        <v>3000</v>
      </c>
      <c r="I8">
        <v>3000</v>
      </c>
      <c r="J8" t="s">
        <v>45</v>
      </c>
    </row>
    <row r="9" spans="1:10" x14ac:dyDescent="0.3">
      <c r="A9">
        <v>1002</v>
      </c>
      <c r="B9" s="9">
        <v>46237</v>
      </c>
      <c r="C9" t="s">
        <v>31</v>
      </c>
      <c r="D9" t="s">
        <v>32</v>
      </c>
      <c r="E9" t="s">
        <v>13</v>
      </c>
      <c r="F9" t="s">
        <v>20</v>
      </c>
      <c r="G9">
        <v>5</v>
      </c>
      <c r="H9">
        <v>500</v>
      </c>
      <c r="I9">
        <v>2500</v>
      </c>
      <c r="J9" t="s">
        <v>46</v>
      </c>
    </row>
    <row r="10" spans="1:10" x14ac:dyDescent="0.3">
      <c r="A10">
        <v>1009</v>
      </c>
      <c r="B10" s="9">
        <v>46177</v>
      </c>
      <c r="C10" t="s">
        <v>33</v>
      </c>
      <c r="D10" t="s">
        <v>34</v>
      </c>
      <c r="E10" t="s">
        <v>35</v>
      </c>
      <c r="F10" t="s">
        <v>10</v>
      </c>
      <c r="G10">
        <v>10</v>
      </c>
      <c r="H10">
        <v>150</v>
      </c>
      <c r="I10">
        <v>1500</v>
      </c>
      <c r="J10" t="s">
        <v>45</v>
      </c>
    </row>
    <row r="11" spans="1:10" x14ac:dyDescent="0.3">
      <c r="A11">
        <v>1010</v>
      </c>
      <c r="B11" s="9">
        <v>46082</v>
      </c>
      <c r="C11" t="s">
        <v>36</v>
      </c>
      <c r="D11" t="s">
        <v>37</v>
      </c>
      <c r="E11" t="s">
        <v>35</v>
      </c>
      <c r="F11" t="s">
        <v>26</v>
      </c>
      <c r="G11">
        <v>5</v>
      </c>
      <c r="H11">
        <v>300</v>
      </c>
      <c r="I11">
        <v>1500</v>
      </c>
      <c r="J11" t="s">
        <v>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2C505-A86D-4B25-92D0-81F2CBB7E36E}">
  <dimension ref="B1:J2"/>
  <sheetViews>
    <sheetView showGridLines="0" tabSelected="1" workbookViewId="0">
      <selection activeCell="Q18" sqref="Q18"/>
    </sheetView>
  </sheetViews>
  <sheetFormatPr defaultRowHeight="14.4" x14ac:dyDescent="0.3"/>
  <cols>
    <col min="1" max="1" width="32.21875" customWidth="1"/>
    <col min="7" max="7" width="31.5546875" customWidth="1"/>
    <col min="8" max="8" width="10.21875" customWidth="1"/>
  </cols>
  <sheetData>
    <row r="1" spans="2:10" ht="30.6" x14ac:dyDescent="0.55000000000000004">
      <c r="B1" s="8"/>
      <c r="C1" s="8"/>
      <c r="D1" s="8"/>
      <c r="E1" s="8"/>
      <c r="F1" s="8"/>
      <c r="G1" s="12" t="s">
        <v>47</v>
      </c>
      <c r="H1" s="12"/>
      <c r="I1" s="12"/>
      <c r="J1" s="11"/>
    </row>
    <row r="2" spans="2:10" ht="31.2" x14ac:dyDescent="0.6">
      <c r="H2" s="10"/>
    </row>
  </sheetData>
  <mergeCells count="1">
    <mergeCell ref="G1:I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A290-F92B-4302-AB3E-E9E76A44E482}">
  <dimension ref="A3:B11"/>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6" t="s">
        <v>39</v>
      </c>
      <c r="B3" t="s">
        <v>38</v>
      </c>
    </row>
    <row r="4" spans="1:2" x14ac:dyDescent="0.3">
      <c r="A4" s="7" t="s">
        <v>14</v>
      </c>
      <c r="B4" s="5">
        <v>110000</v>
      </c>
    </row>
    <row r="5" spans="1:2" x14ac:dyDescent="0.3">
      <c r="A5" s="7" t="s">
        <v>41</v>
      </c>
      <c r="B5" s="5">
        <v>22000</v>
      </c>
    </row>
    <row r="6" spans="1:2" x14ac:dyDescent="0.3">
      <c r="A6" s="7" t="s">
        <v>42</v>
      </c>
      <c r="B6" s="5">
        <v>16500</v>
      </c>
    </row>
    <row r="7" spans="1:2" x14ac:dyDescent="0.3">
      <c r="A7" s="7" t="s">
        <v>43</v>
      </c>
      <c r="B7" s="5">
        <v>3600</v>
      </c>
    </row>
    <row r="8" spans="1:2" x14ac:dyDescent="0.3">
      <c r="A8" s="7" t="s">
        <v>44</v>
      </c>
      <c r="B8" s="5">
        <v>17200</v>
      </c>
    </row>
    <row r="9" spans="1:2" x14ac:dyDescent="0.3">
      <c r="A9" s="7" t="s">
        <v>45</v>
      </c>
      <c r="B9" s="5">
        <v>4500</v>
      </c>
    </row>
    <row r="10" spans="1:2" x14ac:dyDescent="0.3">
      <c r="A10" s="7" t="s">
        <v>46</v>
      </c>
      <c r="B10" s="5">
        <v>2500</v>
      </c>
    </row>
    <row r="11" spans="1:2" x14ac:dyDescent="0.3">
      <c r="A11" s="7" t="s">
        <v>40</v>
      </c>
      <c r="B11" s="5">
        <v>176300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987EB-EE0A-4883-891C-90E9A92D99F5}">
  <dimension ref="A3:B6"/>
  <sheetViews>
    <sheetView workbookViewId="0">
      <selection activeCell="R9" sqref="R9"/>
    </sheetView>
  </sheetViews>
  <sheetFormatPr defaultRowHeight="14.4" x14ac:dyDescent="0.3"/>
  <cols>
    <col min="1" max="1" width="12.5546875" bestFit="1" customWidth="1"/>
    <col min="2" max="2" width="16.44140625" bestFit="1" customWidth="1"/>
  </cols>
  <sheetData>
    <row r="3" spans="1:2" x14ac:dyDescent="0.3">
      <c r="A3" s="6" t="s">
        <v>39</v>
      </c>
      <c r="B3" t="s">
        <v>38</v>
      </c>
    </row>
    <row r="4" spans="1:2" x14ac:dyDescent="0.3">
      <c r="A4" s="7" t="s">
        <v>13</v>
      </c>
      <c r="B4" s="5">
        <v>141300</v>
      </c>
    </row>
    <row r="5" spans="1:2" x14ac:dyDescent="0.3">
      <c r="A5" s="7" t="s">
        <v>35</v>
      </c>
      <c r="B5" s="5">
        <v>3000</v>
      </c>
    </row>
    <row r="6" spans="1:2" x14ac:dyDescent="0.3">
      <c r="A6" s="7" t="s">
        <v>40</v>
      </c>
      <c r="B6" s="5">
        <v>144300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E2A52-F17A-4899-A8B4-DAF035F3EFCF}">
  <dimension ref="A3:B8"/>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6" t="s">
        <v>39</v>
      </c>
      <c r="B3" t="s">
        <v>38</v>
      </c>
    </row>
    <row r="4" spans="1:2" x14ac:dyDescent="0.3">
      <c r="A4" s="7" t="s">
        <v>20</v>
      </c>
      <c r="B4" s="5">
        <v>17500</v>
      </c>
    </row>
    <row r="5" spans="1:2" x14ac:dyDescent="0.3">
      <c r="A5" s="7" t="s">
        <v>10</v>
      </c>
      <c r="B5" s="5">
        <v>136500</v>
      </c>
    </row>
    <row r="6" spans="1:2" x14ac:dyDescent="0.3">
      <c r="A6" s="7" t="s">
        <v>23</v>
      </c>
      <c r="B6" s="5">
        <v>17200</v>
      </c>
    </row>
    <row r="7" spans="1:2" x14ac:dyDescent="0.3">
      <c r="A7" s="7" t="s">
        <v>26</v>
      </c>
      <c r="B7" s="5">
        <v>5100</v>
      </c>
    </row>
    <row r="8" spans="1:2" x14ac:dyDescent="0.3">
      <c r="A8" s="7" t="s">
        <v>40</v>
      </c>
      <c r="B8" s="5">
        <v>176300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5D04-BA0F-43D3-82FC-009E7FADBA4B}">
  <dimension ref="A1:K12"/>
  <sheetViews>
    <sheetView zoomScale="130" zoomScaleNormal="130" workbookViewId="0">
      <selection activeCell="O13" sqref="O13"/>
    </sheetView>
  </sheetViews>
  <sheetFormatPr defaultRowHeight="14.4" x14ac:dyDescent="0.3"/>
  <cols>
    <col min="2" max="2" width="9.5546875" bestFit="1" customWidth="1"/>
    <col min="3" max="3" width="10.109375" customWidth="1"/>
    <col min="5" max="6" width="9.88671875" customWidth="1"/>
    <col min="8" max="8" width="10.77734375" customWidth="1"/>
    <col min="9" max="9" width="10" customWidth="1"/>
  </cols>
  <sheetData>
    <row r="1" spans="1:11" x14ac:dyDescent="0.3">
      <c r="A1" s="2" t="s">
        <v>0</v>
      </c>
      <c r="B1" s="2" t="s">
        <v>1</v>
      </c>
      <c r="C1" s="2" t="s">
        <v>2</v>
      </c>
      <c r="D1" s="2" t="s">
        <v>3</v>
      </c>
      <c r="E1" s="2" t="s">
        <v>4</v>
      </c>
      <c r="F1" s="2" t="s">
        <v>5</v>
      </c>
      <c r="G1" s="2" t="s">
        <v>6</v>
      </c>
      <c r="H1" s="2" t="s">
        <v>7</v>
      </c>
      <c r="I1" s="2" t="s">
        <v>8</v>
      </c>
      <c r="J1" s="2" t="s">
        <v>9</v>
      </c>
      <c r="K1" s="1"/>
    </row>
    <row r="2" spans="1:11" x14ac:dyDescent="0.3">
      <c r="A2" s="3">
        <v>1001</v>
      </c>
      <c r="B2" s="4">
        <v>46027</v>
      </c>
      <c r="C2" s="3" t="s">
        <v>11</v>
      </c>
      <c r="D2" s="3" t="s">
        <v>12</v>
      </c>
      <c r="E2" s="3" t="s">
        <v>13</v>
      </c>
      <c r="F2" s="3" t="s">
        <v>10</v>
      </c>
      <c r="G2" s="3">
        <v>2</v>
      </c>
      <c r="H2" s="3">
        <v>55000</v>
      </c>
      <c r="I2" s="3">
        <v>110000</v>
      </c>
      <c r="J2" s="3" t="str">
        <f>TEXT(B2,"mmm")</f>
        <v>Jan</v>
      </c>
      <c r="K2" s="1"/>
    </row>
    <row r="3" spans="1:11" x14ac:dyDescent="0.3">
      <c r="A3" s="3">
        <v>1006</v>
      </c>
      <c r="B3" s="4">
        <v>46063</v>
      </c>
      <c r="C3" s="3" t="s">
        <v>15</v>
      </c>
      <c r="D3" s="3" t="s">
        <v>16</v>
      </c>
      <c r="E3" s="3" t="s">
        <v>13</v>
      </c>
      <c r="F3" s="3" t="s">
        <v>10</v>
      </c>
      <c r="G3" s="3">
        <v>1</v>
      </c>
      <c r="H3" s="3">
        <v>22000</v>
      </c>
      <c r="I3" s="3">
        <v>22000</v>
      </c>
      <c r="J3" s="3" t="str">
        <f t="shared" ref="J3:J11" si="0">TEXT(B3,"mmm")</f>
        <v>Feb</v>
      </c>
    </row>
    <row r="4" spans="1:11" x14ac:dyDescent="0.3">
      <c r="A4" s="3">
        <v>1007</v>
      </c>
      <c r="B4" s="4">
        <v>46091</v>
      </c>
      <c r="C4" s="3" t="s">
        <v>17</v>
      </c>
      <c r="D4" s="3" t="s">
        <v>18</v>
      </c>
      <c r="E4" s="3" t="s">
        <v>19</v>
      </c>
      <c r="F4" s="3" t="s">
        <v>20</v>
      </c>
      <c r="G4" s="3">
        <v>1</v>
      </c>
      <c r="H4" s="3">
        <v>15000</v>
      </c>
      <c r="I4" s="3">
        <v>15000</v>
      </c>
      <c r="J4" s="3" t="str">
        <f t="shared" si="0"/>
        <v>Mar</v>
      </c>
    </row>
    <row r="5" spans="1:11" x14ac:dyDescent="0.3">
      <c r="A5" s="3">
        <v>1004</v>
      </c>
      <c r="B5" s="4">
        <v>46150</v>
      </c>
      <c r="C5" s="3" t="s">
        <v>21</v>
      </c>
      <c r="D5" s="3" t="s">
        <v>22</v>
      </c>
      <c r="E5" s="3" t="s">
        <v>19</v>
      </c>
      <c r="F5" s="3" t="s">
        <v>23</v>
      </c>
      <c r="G5" s="3">
        <v>2</v>
      </c>
      <c r="H5" s="3">
        <v>7000</v>
      </c>
      <c r="I5" s="3">
        <v>14000</v>
      </c>
      <c r="J5" s="3" t="str">
        <f t="shared" si="0"/>
        <v>May</v>
      </c>
    </row>
    <row r="6" spans="1:11" x14ac:dyDescent="0.3">
      <c r="A6" s="3">
        <v>1005</v>
      </c>
      <c r="B6" s="4">
        <v>46113</v>
      </c>
      <c r="C6" s="3" t="s">
        <v>24</v>
      </c>
      <c r="D6" s="3" t="s">
        <v>25</v>
      </c>
      <c r="E6" s="3" t="s">
        <v>13</v>
      </c>
      <c r="F6" s="3" t="s">
        <v>26</v>
      </c>
      <c r="G6" s="3">
        <v>3</v>
      </c>
      <c r="H6" s="3">
        <v>1200</v>
      </c>
      <c r="I6" s="3">
        <v>3600</v>
      </c>
      <c r="J6" s="3" t="str">
        <f t="shared" si="0"/>
        <v>Apr</v>
      </c>
    </row>
    <row r="7" spans="1:11" x14ac:dyDescent="0.3">
      <c r="A7" s="3">
        <v>1008</v>
      </c>
      <c r="B7" s="4">
        <v>46144</v>
      </c>
      <c r="C7" s="3" t="s">
        <v>27</v>
      </c>
      <c r="D7" s="3" t="s">
        <v>28</v>
      </c>
      <c r="E7" s="3" t="s">
        <v>13</v>
      </c>
      <c r="F7" s="3" t="s">
        <v>23</v>
      </c>
      <c r="G7" s="3">
        <v>4</v>
      </c>
      <c r="H7" s="3">
        <v>800</v>
      </c>
      <c r="I7" s="3">
        <v>3200</v>
      </c>
      <c r="J7" s="3" t="str">
        <f t="shared" si="0"/>
        <v>May</v>
      </c>
    </row>
    <row r="8" spans="1:11" x14ac:dyDescent="0.3">
      <c r="A8" s="3">
        <v>1003</v>
      </c>
      <c r="B8" s="4">
        <v>46174</v>
      </c>
      <c r="C8" s="3" t="s">
        <v>29</v>
      </c>
      <c r="D8" s="3" t="s">
        <v>30</v>
      </c>
      <c r="E8" s="3" t="s">
        <v>19</v>
      </c>
      <c r="F8" s="3" t="s">
        <v>10</v>
      </c>
      <c r="G8" s="3">
        <v>1</v>
      </c>
      <c r="H8" s="3">
        <v>3000</v>
      </c>
      <c r="I8" s="3">
        <v>3000</v>
      </c>
      <c r="J8" s="3" t="str">
        <f t="shared" si="0"/>
        <v>Jun</v>
      </c>
    </row>
    <row r="9" spans="1:11" x14ac:dyDescent="0.3">
      <c r="A9" s="3">
        <v>1002</v>
      </c>
      <c r="B9" s="4">
        <v>46237</v>
      </c>
      <c r="C9" s="3" t="s">
        <v>31</v>
      </c>
      <c r="D9" s="3" t="s">
        <v>32</v>
      </c>
      <c r="E9" s="3" t="s">
        <v>13</v>
      </c>
      <c r="F9" s="3" t="s">
        <v>20</v>
      </c>
      <c r="G9" s="3">
        <v>5</v>
      </c>
      <c r="H9" s="3">
        <v>500</v>
      </c>
      <c r="I9" s="3">
        <v>2500</v>
      </c>
      <c r="J9" s="3" t="str">
        <f t="shared" si="0"/>
        <v>Aug</v>
      </c>
    </row>
    <row r="10" spans="1:11" x14ac:dyDescent="0.3">
      <c r="A10" s="3">
        <v>1009</v>
      </c>
      <c r="B10" s="4">
        <v>46177</v>
      </c>
      <c r="C10" s="3" t="s">
        <v>33</v>
      </c>
      <c r="D10" s="3" t="s">
        <v>34</v>
      </c>
      <c r="E10" s="3" t="s">
        <v>35</v>
      </c>
      <c r="F10" s="3" t="s">
        <v>10</v>
      </c>
      <c r="G10" s="3">
        <v>10</v>
      </c>
      <c r="H10" s="3">
        <v>150</v>
      </c>
      <c r="I10" s="3">
        <v>1500</v>
      </c>
      <c r="J10" s="3" t="str">
        <f t="shared" si="0"/>
        <v>Jun</v>
      </c>
    </row>
    <row r="11" spans="1:11" x14ac:dyDescent="0.3">
      <c r="A11" s="3">
        <v>1010</v>
      </c>
      <c r="B11" s="4">
        <v>46082</v>
      </c>
      <c r="C11" s="3" t="s">
        <v>36</v>
      </c>
      <c r="D11" s="3" t="s">
        <v>37</v>
      </c>
      <c r="E11" s="3" t="s">
        <v>35</v>
      </c>
      <c r="F11" s="3" t="s">
        <v>26</v>
      </c>
      <c r="G11" s="3">
        <v>5</v>
      </c>
      <c r="H11" s="3">
        <v>300</v>
      </c>
      <c r="I11" s="3">
        <v>1500</v>
      </c>
      <c r="J11" s="3" t="str">
        <f t="shared" si="0"/>
        <v>Mar</v>
      </c>
    </row>
    <row r="12" spans="1:11" x14ac:dyDescent="0.3">
      <c r="I12">
        <f>SUM(I2:I11)</f>
        <v>176300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Dasboard</vt:lpstr>
      <vt:lpstr>month</vt:lpstr>
      <vt:lpstr>Category</vt:lpstr>
      <vt:lpstr>Sheet8</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2026-04-10T04:38:28Z</dcterms:created>
  <dcterms:modified xsi:type="dcterms:W3CDTF">2026-04-20T17:52:54Z</dcterms:modified>
</cp:coreProperties>
</file>